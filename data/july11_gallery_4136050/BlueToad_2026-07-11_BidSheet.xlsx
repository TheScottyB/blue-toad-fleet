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d Sheet" sheetId="1" state="visible" r:id="rId3"/>
    <sheet name="Auction Info" sheetId="2" state="visible" r:id="rId4"/>
    <sheet name="All Lots (Training)" sheetId="3" state="visible" r:id="rId5"/>
    <sheet name="Listing Cross-Ref" sheetId="4" state="visible" r:id="rId6"/>
  </sheets>
  <definedNames>
    <definedName function="false" hidden="true" localSheetId="2" name="_xlnm._FilterDatabase" vbProcedure="false">'All Lots (Training)'!$A$1:$M$453</definedName>
    <definedName function="false" hidden="true" localSheetId="0" name="_xlnm._FilterDatabase" vbProcedure="false">'Bid Sheet'!$A$1:$M$89</definedName>
    <definedName function="false" hidden="true" localSheetId="3" name="_xlnm._FilterDatabase" vbProcedure="false">'Listing Cross-Ref'!$A$1:$D$204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<sst xmlns="http://schemas.openxmlformats.org/spreadsheetml/2006/main" count="3447" uniqueCount="961">
  <si>
    <t xml:space="preserve">Priority</t>
  </si>
  <si>
    <t xml:space="preserve">Photo #</t>
  </si>
  <si>
    <t xml:space="preserve">Item / Lot</t>
  </si>
  <si>
    <t xml:space="preserve">Category</t>
  </si>
  <si>
    <t xml:space="preserve">Photo Link</t>
  </si>
  <si>
    <t xml:space="preserve">Est. Resale Low ($)</t>
  </si>
  <si>
    <t xml:space="preserve">Est. Resale High ($)</t>
  </si>
  <si>
    <t xml:space="preserve">Start Bid ($)</t>
  </si>
  <si>
    <t xml:space="preserve">Max Bid ($)</t>
  </si>
  <si>
    <t xml:space="preserve">All-in Absentee ($)</t>
  </si>
  <si>
    <t xml:space="preserve">All-in In-Person Cash ($)</t>
  </si>
  <si>
    <t xml:space="preserve">Est. Profit @ Mid, Absentee ($)</t>
  </si>
  <si>
    <t xml:space="preserve">Notes / Verify</t>
  </si>
  <si>
    <t xml:space="preserve">A</t>
  </si>
  <si>
    <t xml:space="preserve">Smokey Bear Jeep (Nomura, battery-op tin)</t>
  </si>
  <si>
    <t xml:space="preserve">Toys</t>
  </si>
  <si>
    <t xml:space="preserve">photo</t>
  </si>
  <si>
    <t xml:space="preserve">Hake's est $700-1,000 boxed; verify box &amp; completeness</t>
  </si>
  <si>
    <t xml:space="preserve">TWA Paris travel poster</t>
  </si>
  <si>
    <t xml:space="preserve">Travel posters</t>
  </si>
  <si>
    <t xml:space="preserve">If original David Klein litho $400-1,500+; verify vs repro</t>
  </si>
  <si>
    <t xml:space="preserve">TWA Egypt travel poster</t>
  </si>
  <si>
    <t xml:space="preserve">TWA India travel poster</t>
  </si>
  <si>
    <t xml:space="preserve">TWA Germany travel poster</t>
  </si>
  <si>
    <t xml:space="preserve">Vintage TWA travel poster</t>
  </si>
  <si>
    <t xml:space="preserve">TWA Ireland travel poster (uncaptioned)</t>
  </si>
  <si>
    <t xml:space="preserve">PHOTO-REVIEWED: classic Klein-era design</t>
  </si>
  <si>
    <t xml:space="preserve">TWA Switzerland travel poster (uncaptioned)</t>
  </si>
  <si>
    <t xml:space="preserve">PHOTO-REVIEWED: Klein-era design</t>
  </si>
  <si>
    <t xml:space="preserve">United San Francisco cable car poster (uncaptioned)</t>
  </si>
  <si>
    <t xml:space="preserve">PHOTO-REVIEWED</t>
  </si>
  <si>
    <t xml:space="preserve">B</t>
  </si>
  <si>
    <t xml:space="preserve">United Pacific Northwest poster (uncaptioned)</t>
  </si>
  <si>
    <t xml:space="preserve">Africa airline travel poster (uncaptioned)</t>
  </si>
  <si>
    <t xml:space="preserve">PHOTO-REVIEWED: verify airline/artist</t>
  </si>
  <si>
    <t xml:space="preserve">Travel poster, night cityscape (uncaptioned)</t>
  </si>
  <si>
    <t xml:space="preserve">Lufthansa travel poster</t>
  </si>
  <si>
    <t xml:space="preserve">Panagra Panama travel poster</t>
  </si>
  <si>
    <t xml:space="preserve">Panagra scarcer</t>
  </si>
  <si>
    <t xml:space="preserve">Pan Am travel poster</t>
  </si>
  <si>
    <t xml:space="preserve">United Air Lines travel poster</t>
  </si>
  <si>
    <t xml:space="preserve">United Hawaii travel poster</t>
  </si>
  <si>
    <t xml:space="preserve">Hawaii subjects premium</t>
  </si>
  <si>
    <t xml:space="preserve">C</t>
  </si>
  <si>
    <t xml:space="preserve">Travel posters (unspecified)</t>
  </si>
  <si>
    <t xml:space="preserve">Check photo - possible lot</t>
  </si>
  <si>
    <t xml:space="preserve">Pabst Blue Ribbon train bar backer (motion)</t>
  </si>
  <si>
    <t xml:space="preserve">Breweriana</t>
  </si>
  <si>
    <t xml:space="preserve">1961 motion comps $204-300; confirm working</t>
  </si>
  <si>
    <t xml:space="preserve">Pabst Jalopy bar sign (motion)</t>
  </si>
  <si>
    <t xml:space="preserve">Schlitz globe</t>
  </si>
  <si>
    <t xml:space="preserve">Rotating globes $250-750</t>
  </si>
  <si>
    <t xml:space="preserve">Schlitz Globe bar light</t>
  </si>
  <si>
    <t xml:space="preserve">Miller High Life bouncing ball motion sign</t>
  </si>
  <si>
    <t xml:space="preserve">Working 1960s ask $220-440</t>
  </si>
  <si>
    <t xml:space="preserve">Miller High Life lighted bottle-bucket sconces, pair (uncaptioned)</t>
  </si>
  <si>
    <t xml:space="preserve">PHOTO-REVIEWED: pair of lighted wall pieces</t>
  </si>
  <si>
    <t xml:space="preserve">Pabst 'Don't Just Sit There' wood sign (uncaptioned)</t>
  </si>
  <si>
    <t xml:space="preserve">Spring Air neon sign</t>
  </si>
  <si>
    <t xml:space="preserve">Advertising</t>
  </si>
  <si>
    <t xml:space="preserve">Confirm working</t>
  </si>
  <si>
    <t xml:space="preserve">'CLOSED - National Prohibition Act' sign (uncaptioned)</t>
  </si>
  <si>
    <t xml:space="preserve">PHOTO-REVIEWED: great RG piece IF period; high repro risk</t>
  </si>
  <si>
    <t xml:space="preserve">Frostie Root Beer embossed sign (uncaptioned)</t>
  </si>
  <si>
    <t xml:space="preserve">PHOTO-REVIEWED: vintage soda advertising</t>
  </si>
  <si>
    <t xml:space="preserve">Howel's Root Beer 5-cent sign (uncaptioned)</t>
  </si>
  <si>
    <t xml:space="preserve">Labatt Ale sign (uncaptioned)</t>
  </si>
  <si>
    <t xml:space="preserve">Leroux Root Beer Schnapps mirror (uncaptioned)</t>
  </si>
  <si>
    <t xml:space="preserve">Whitbread Ale oval mirror (uncaptioned)</t>
  </si>
  <si>
    <t xml:space="preserve">Hamm's beer tiles</t>
  </si>
  <si>
    <t xml:space="preserve">Genesee Beer clock</t>
  </si>
  <si>
    <t xml:space="preserve">Four Roses whiskey bar clock</t>
  </si>
  <si>
    <t xml:space="preserve">Player's Navy Cut cigarette mirror</t>
  </si>
  <si>
    <t xml:space="preserve">Colt firearms mirror</t>
  </si>
  <si>
    <t xml:space="preserve">Longhorn tobacco/cigarette sign</t>
  </si>
  <si>
    <t xml:space="preserve">Beer tap handles, box lot 1 (uncaptioned)</t>
  </si>
  <si>
    <t xml:space="preserve">PHOTO-REVIEWED: full box, resells well individually</t>
  </si>
  <si>
    <t xml:space="preserve">Beer tap handles, box lot 2 (uncaptioned)</t>
  </si>
  <si>
    <t xml:space="preserve">Schlitz/Miller trays &amp; chargers (4 lots, fp257-261)</t>
  </si>
  <si>
    <t xml:space="preserve">PHOTO-REVIEWED. PER LOT</t>
  </si>
  <si>
    <t xml:space="preserve">Adlake railroad switch light</t>
  </si>
  <si>
    <t xml:space="preserve">Railroad</t>
  </si>
  <si>
    <t xml:space="preserve">Adlake comps $75-350+</t>
  </si>
  <si>
    <t xml:space="preserve">Railway switch lamps, captioned run (7, fp23-34)</t>
  </si>
  <si>
    <t xml:space="preserve">PER LAMP. Check RR marks &amp; lens colors</t>
  </si>
  <si>
    <t xml:space="preserve">Addl switch lamps/lenses, uncaptioned (6: fp24,27,29,31,33,35)</t>
  </si>
  <si>
    <t xml:space="preserve">PHOTO-REVIEWED: PER LOT. Blue lenses visible = premium</t>
  </si>
  <si>
    <t xml:space="preserve">Railroad lanterns (4 lots, fp183-189)</t>
  </si>
  <si>
    <t xml:space="preserve">PER LOT. Road marks &amp; globe color drive value</t>
  </si>
  <si>
    <t xml:space="preserve">Addl railroad lantern lots, uncaptioned (4: fp184-190)</t>
  </si>
  <si>
    <t xml:space="preserve">PHOTO-REVIEWED: red-globe lanterns. PER LOT</t>
  </si>
  <si>
    <t xml:space="preserve">Switch light lenses (2 lots, fp353-355)</t>
  </si>
  <si>
    <t xml:space="preserve">fp354 uncaptioned = colored lens spheres</t>
  </si>
  <si>
    <t xml:space="preserve">Red Wing 10-gallon stoneware crock</t>
  </si>
  <si>
    <t xml:space="preserve">Stoneware</t>
  </si>
  <si>
    <t xml:space="preserve">Check chips; 6-inch wing = earlier/more</t>
  </si>
  <si>
    <t xml:space="preserve">Small stoneware crock, white glaze (uncaptioned)</t>
  </si>
  <si>
    <t xml:space="preserve">Large brass steam gauge, gilt frame (uncaptioned)</t>
  </si>
  <si>
    <t xml:space="preserve">Industrial</t>
  </si>
  <si>
    <t xml:space="preserve">PHOTO-REVIEWED: displays well</t>
  </si>
  <si>
    <t xml:space="preserve">Smokey Bear picnic grill</t>
  </si>
  <si>
    <t xml:space="preserve">Collectibles</t>
  </si>
  <si>
    <t xml:space="preserve">Scarce novelty</t>
  </si>
  <si>
    <t xml:space="preserve">Charlie Weaver bartender (working)</t>
  </si>
  <si>
    <t xml:space="preserve">Rosko 1962; fp75 shows second similar bartender toy</t>
  </si>
  <si>
    <t xml:space="preserve">Parking meter</t>
  </si>
  <si>
    <t xml:space="preserve">Realistic eBay range; 1stDibs inflated</t>
  </si>
  <si>
    <t xml:space="preserve">Seth Thomas mantle clock</t>
  </si>
  <si>
    <t xml:space="preserve">Clocks</t>
  </si>
  <si>
    <t xml:space="preserve">Verify movement</t>
  </si>
  <si>
    <t xml:space="preserve">Antique mantle clock</t>
  </si>
  <si>
    <t xml:space="preserve">Telegraph key</t>
  </si>
  <si>
    <t xml:space="preserve">Airplane compass</t>
  </si>
  <si>
    <t xml:space="preserve">Aviation</t>
  </si>
  <si>
    <t xml:space="preserve">If WWII military, stronger</t>
  </si>
  <si>
    <t xml:space="preserve">Wooden airplane propeller</t>
  </si>
  <si>
    <t xml:space="preserve">Verify genuine vs decor</t>
  </si>
  <si>
    <t xml:space="preserve">Wolf Safety Lamp (miner's)</t>
  </si>
  <si>
    <t xml:space="preserve">Mining</t>
  </si>
  <si>
    <t xml:space="preserve">Carbide Minelamp lantern</t>
  </si>
  <si>
    <t xml:space="preserve">Pendleton Beaver State blankets (3, fp270-272; 1 new)</t>
  </si>
  <si>
    <t xml:space="preserve">Native American / textiles</t>
  </si>
  <si>
    <t xml:space="preserve">PER BLANKET</t>
  </si>
  <si>
    <t xml:space="preserve">Kachina dolls</t>
  </si>
  <si>
    <t xml:space="preserve">Native American</t>
  </si>
  <si>
    <t xml:space="preserve">Carver drives value</t>
  </si>
  <si>
    <t xml:space="preserve">Native American pottery</t>
  </si>
  <si>
    <t xml:space="preserve">Verify signed/pueblo</t>
  </si>
  <si>
    <t xml:space="preserve">Native American pottery box lot (uncaptioned)</t>
  </si>
  <si>
    <t xml:space="preserve">PHOTO-REVIEWED: many pieces; more box lots at fp267-285</t>
  </si>
  <si>
    <t xml:space="preserve">Native American/serape blankets (multiple lots, fp287-295)</t>
  </si>
  <si>
    <t xml:space="preserve">PER LOT. Incl. uncaptioned fp289-295; likely tourist</t>
  </si>
  <si>
    <t xml:space="preserve">Native American beaded leather lot (uncaptioned)</t>
  </si>
  <si>
    <t xml:space="preserve">PHOTO-REVIEWED: moccasins, pouches, beadwork</t>
  </si>
  <si>
    <t xml:space="preserve">Canon AE-1 35mm camera</t>
  </si>
  <si>
    <t xml:space="preserve">Cameras</t>
  </si>
  <si>
    <t xml:space="preserve">Test shutter/meter</t>
  </si>
  <si>
    <t xml:space="preserve">Minolta X-370 35mm camera</t>
  </si>
  <si>
    <t xml:space="preserve">Vintage cameras (lot)</t>
  </si>
  <si>
    <t xml:space="preserve">German beer steins, crate lot 1 (uncaptioned)</t>
  </si>
  <si>
    <t xml:space="preserve">PHOTO-REVIEWED: full crate</t>
  </si>
  <si>
    <t xml:space="preserve">German beer steins, crate lot 2 (uncaptioned)</t>
  </si>
  <si>
    <t xml:space="preserve">Tonka flatbed</t>
  </si>
  <si>
    <t xml:space="preserve">Tonka Jeep</t>
  </si>
  <si>
    <t xml:space="preserve">Tonka military truck</t>
  </si>
  <si>
    <t xml:space="preserve">Tonka shovel</t>
  </si>
  <si>
    <t xml:space="preserve">Tonka trucks (lot)</t>
  </si>
  <si>
    <t xml:space="preserve">More uncaptioned Tonka/pressed steel: fp90-96, fp110</t>
  </si>
  <si>
    <t xml:space="preserve">Nylint dozer</t>
  </si>
  <si>
    <t xml:space="preserve">Structo car carrier</t>
  </si>
  <si>
    <t xml:space="preserve">Tru-Scale farm tractors</t>
  </si>
  <si>
    <t xml:space="preserve">fp103 uncaptioned = 2 more orange tractors</t>
  </si>
  <si>
    <t xml:space="preserve">Un-opened trading cards</t>
  </si>
  <si>
    <t xml:space="preserve">Cards</t>
  </si>
  <si>
    <t xml:space="preserve">Verify brand/era</t>
  </si>
  <si>
    <t xml:space="preserve">Baseball cards</t>
  </si>
  <si>
    <t xml:space="preserve">Trading card boxes, bulk loose (uncaptioned)</t>
  </si>
  <si>
    <t xml:space="preserve">PHOTO-REVIEWED: thousands loose; wildcard - verify era at preview</t>
  </si>
  <si>
    <t xml:space="preserve">Star Wars action figures</t>
  </si>
  <si>
    <t xml:space="preserve">If vintage Kenner, higher</t>
  </si>
  <si>
    <t xml:space="preserve">Playboy mansion collectibles</t>
  </si>
  <si>
    <t xml:space="preserve">Needs provenance docs</t>
  </si>
  <si>
    <t xml:space="preserve">Big Shot pinball game (antique)</t>
  </si>
  <si>
    <t xml:space="preserve">Games</t>
  </si>
  <si>
    <t xml:space="preserve">Cast iron mini stove</t>
  </si>
  <si>
    <t xml:space="preserve">Signed Wilson footballs</t>
  </si>
  <si>
    <t xml:space="preserve">Sports</t>
  </si>
  <si>
    <t xml:space="preserve">Value = who signed; verify at preview</t>
  </si>
  <si>
    <t xml:space="preserve">Stained glass hanging lamp</t>
  </si>
  <si>
    <t xml:space="preserve">Home decor</t>
  </si>
  <si>
    <t xml:space="preserve">TOTALS (multi-item rows counted once)</t>
  </si>
  <si>
    <t xml:space="preserve">A-priority only:</t>
  </si>
  <si>
    <t xml:space="preserve">Savings if bid in person (cash) vs absentee, at all maxes:</t>
  </si>
  <si>
    <t xml:space="preserve">Auction</t>
  </si>
  <si>
    <t xml:space="preserve">Antique Estate Collectible Auction - Blue Toad Auctions</t>
  </si>
  <si>
    <t xml:space="preserve">Date</t>
  </si>
  <si>
    <t xml:space="preserve">Saturday July 11, 2026 - Preview 9:00 AM, Auction 10:00 AM</t>
  </si>
  <si>
    <t xml:space="preserve">Location</t>
  </si>
  <si>
    <t xml:space="preserve">200 Elizabeth Lane, Genoa City, WI 53128</t>
  </si>
  <si>
    <t xml:space="preserve">Auctioneer</t>
  </si>
  <si>
    <t xml:space="preserve">William Theesfield - WI 2814-52 / IL 441.002465 - 847-707-9446 - info@bluetoadauctions.com</t>
  </si>
  <si>
    <t xml:space="preserve">Listing</t>
  </si>
  <si>
    <t xml:space="preserve">https://www.auctionzip.com/cgi-bin/auctionview.cgi?lid=4136050</t>
  </si>
  <si>
    <t xml:space="preserve">LOT MODEL</t>
  </si>
  <si>
    <t xml:space="preserve">Photos = lots</t>
  </si>
  <si>
    <t xml:space="preserve">EACH PHOTO IS ONE ITEM OR ONE LOT, captioned or not. Gallery has 452 photos (fp1-fp455 with gaps) = ~452 auction lots.</t>
  </si>
  <si>
    <t xml:space="preserve">Pace check</t>
  </si>
  <si>
    <t xml:space="preserve">10 AM - ~3 PM at ~30 sec/lot = ~600-lot capacity, so a ~452-lot sale fits. Occasional 'first pick - one or all' bundling on multiples.</t>
  </si>
  <si>
    <t xml:space="preserve">Uncaptioned</t>
  </si>
  <si>
    <t xml:space="preserve">128 uncaptioned photos were visually reviewed 7/4 via gallery thumbnails; RG-fit finds added to bid sheet (marked PHOTO-REVIEWED).</t>
  </si>
  <si>
    <t xml:space="preserve">FEES &amp; TAX (updated 7/4)</t>
  </si>
  <si>
    <t xml:space="preserve">Tax</t>
  </si>
  <si>
    <t xml:space="preserve">EXEMPT - resale certificate on file with Blue Toad. No WI sales tax in cost model.</t>
  </si>
  <si>
    <t xml:space="preserve">Absentee</t>
  </si>
  <si>
    <t xml:space="preserve">15% buyer fee -&gt; all-in = bid x 1.15. Email bids by 8:00 PM Friday July 10.</t>
  </si>
  <si>
    <t xml:space="preserve">In person</t>
  </si>
  <si>
    <t xml:space="preserve">10% buyer fee CASH (15% debit/credit) -&gt; all-in = bid x 1.10 cash. Bidding in person at maxes saves the J-K column difference.</t>
  </si>
  <si>
    <t xml:space="preserve">Terms</t>
  </si>
  <si>
    <t xml:space="preserve">AS-IS WHERE-IS, all sales final</t>
  </si>
  <si>
    <t xml:space="preserve">HOW TO READ THE BID SHEET</t>
  </si>
  <si>
    <t xml:space="preserve">A = strong buy, B = good if cheap, C = opportunistic</t>
  </si>
  <si>
    <t xml:space="preserve">Bid logic</t>
  </si>
  <si>
    <t xml:space="preserve">Max approx 35-40% of low-mid resale to protect margin after fees</t>
  </si>
  <si>
    <t xml:space="preserve">Est. Profit</t>
  </si>
  <si>
    <t xml:space="preserve">Mid resale minus absentee all-in. Excludes labor/listing costs</t>
  </si>
  <si>
    <t xml:space="preserve">KEY COMP SOURCES</t>
  </si>
  <si>
    <t xml:space="preserve">1stDibs/Invaluable - Klein-era TWA originals $400-1,500+</t>
  </si>
  <si>
    <t xml:space="preserve">Smokey Bear Jeep</t>
  </si>
  <si>
    <t xml:space="preserve">Hake's est $700-1,000 (boxed, Nomura)</t>
  </si>
  <si>
    <t xml:space="preserve">Schlitz globes</t>
  </si>
  <si>
    <t xml:space="preserve">LiveAuctioneers/eBay $250-750</t>
  </si>
  <si>
    <t xml:space="preserve">Pabst train sign</t>
  </si>
  <si>
    <t xml:space="preserve">WorthPoint/PicClick sold $204-300</t>
  </si>
  <si>
    <t xml:space="preserve">Switch lamps</t>
  </si>
  <si>
    <t xml:space="preserve">eBay Adlake $75-350+</t>
  </si>
  <si>
    <t xml:space="preserve">Red Wing 10 gal</t>
  </si>
  <si>
    <t xml:space="preserve">RWCS/dealers $80-250</t>
  </si>
  <si>
    <t xml:space="preserve">Pendleton</t>
  </si>
  <si>
    <t xml:space="preserve">LiveAuctioneers $100-875 by condition/pattern</t>
  </si>
  <si>
    <t xml:space="preserve">Note</t>
  </si>
  <si>
    <t xml:space="preserve">Desk research + thumbnail photo review. Condition NOT verified - inspect A-priority at 9 AM preview or via photo links before finalizing.</t>
  </si>
  <si>
    <t xml:space="preserve">Auctioneer Caption</t>
  </si>
  <si>
    <t xml:space="preserve">Claude Predicted ID</t>
  </si>
  <si>
    <t xml:space="preserve">Category Guess</t>
  </si>
  <si>
    <t xml:space="preserve">Pred. Value Low ($)</t>
  </si>
  <si>
    <t xml:space="preserve">Pred. Value High ($)</t>
  </si>
  <si>
    <t xml:space="preserve">Confidence</t>
  </si>
  <si>
    <t xml:space="preserve">On Bid Sheet?</t>
  </si>
  <si>
    <t xml:space="preserve">Staff: ID Correct? (Y/N/notes)</t>
  </si>
  <si>
    <t xml:space="preserve">Staff: Value Check ($)</t>
  </si>
  <si>
    <t xml:space="preserve">Actual Hammer ($)</t>
  </si>
  <si>
    <t xml:space="preserve">Hammer vs Pred (see formula)</t>
  </si>
  <si>
    <t xml:space="preserve">Vintage TWA Paris travel poster</t>
  </si>
  <si>
    <t xml:space="preserve">High</t>
  </si>
  <si>
    <t xml:space="preserve">YES</t>
  </si>
  <si>
    <t xml:space="preserve">Pabst Blue Ribbon train bar backer</t>
  </si>
  <si>
    <t xml:space="preserve">Breweriana/Bar</t>
  </si>
  <si>
    <t xml:space="preserve">Toys &amp; games</t>
  </si>
  <si>
    <t xml:space="preserve">1991 Longaberger corn basket</t>
  </si>
  <si>
    <t xml:space="preserve">General/smalls</t>
  </si>
  <si>
    <t xml:space="preserve">Longaberger baskets</t>
  </si>
  <si>
    <t xml:space="preserve">(none)</t>
  </si>
  <si>
    <t xml:space="preserve">[uncaptioned] Longaberger basket lot</t>
  </si>
  <si>
    <t xml:space="preserve">Medium</t>
  </si>
  <si>
    <t xml:space="preserve">wall thermometer</t>
  </si>
  <si>
    <t xml:space="preserve">Miller High Life beer barrel sign</t>
  </si>
  <si>
    <t xml:space="preserve">Anderker beer bar sign</t>
  </si>
  <si>
    <t xml:space="preserve">wooden airplane propeller</t>
  </si>
  <si>
    <t xml:space="preserve">German beer steins</t>
  </si>
  <si>
    <t xml:space="preserve">[uncaptioned] German beer steins, crate lot</t>
  </si>
  <si>
    <t xml:space="preserve">wooden carved masks</t>
  </si>
  <si>
    <t xml:space="preserve">chuck wagon wall plaque</t>
  </si>
  <si>
    <t xml:space="preserve">cast iron mini stove</t>
  </si>
  <si>
    <t xml:space="preserve">[uncaptioned] box lot: figurines &amp; glass (Santa, doll)</t>
  </si>
  <si>
    <t xml:space="preserve">Bauer iceskates</t>
  </si>
  <si>
    <t xml:space="preserve">Adlake Railway switch lamp</t>
  </si>
  <si>
    <t xml:space="preserve">[uncaptioned] RR switch lamp, blue lens</t>
  </si>
  <si>
    <t xml:space="preserve">Railway switch lamp</t>
  </si>
  <si>
    <t xml:space="preserve">[uncaptioned] RR switch lamps, amber/teal lenses</t>
  </si>
  <si>
    <t xml:space="preserve">[uncaptioned] switch lamp lenses / red globes pair</t>
  </si>
  <si>
    <t xml:space="preserve">[uncaptioned] RR switch lamp, dark w/ purple lens</t>
  </si>
  <si>
    <t xml:space="preserve">[uncaptioned] 4-way switch lamp, teal lens</t>
  </si>
  <si>
    <t xml:space="preserve">milk cans</t>
  </si>
  <si>
    <t xml:space="preserve">beer keg</t>
  </si>
  <si>
    <t xml:space="preserve">[uncaptioned] small white-glaze stoneware crock</t>
  </si>
  <si>
    <t xml:space="preserve">Stoneware/kitchen</t>
  </si>
  <si>
    <t xml:space="preserve">10 gallon redwing crock</t>
  </si>
  <si>
    <t xml:space="preserve">army footlocker</t>
  </si>
  <si>
    <t xml:space="preserve">antique clothes wringer</t>
  </si>
  <si>
    <t xml:space="preserve">fruit crates</t>
  </si>
  <si>
    <t xml:space="preserve">vintage cameras</t>
  </si>
  <si>
    <t xml:space="preserve">Cameras/electronics</t>
  </si>
  <si>
    <t xml:space="preserve">camera accessories</t>
  </si>
  <si>
    <t xml:space="preserve">[uncaptioned] work lights / electrical lot</t>
  </si>
  <si>
    <t xml:space="preserve">Lighting/lanterns</t>
  </si>
  <si>
    <t xml:space="preserve">Low</t>
  </si>
  <si>
    <t xml:space="preserve">mini cuckoo clock</t>
  </si>
  <si>
    <t xml:space="preserve">pocket radios</t>
  </si>
  <si>
    <t xml:space="preserve">lighters</t>
  </si>
  <si>
    <t xml:space="preserve">telegraph key</t>
  </si>
  <si>
    <t xml:space="preserve">airplane compass</t>
  </si>
  <si>
    <t xml:space="preserve">Paper/cards</t>
  </si>
  <si>
    <t xml:space="preserve">Lite-Brite toys</t>
  </si>
  <si>
    <t xml:space="preserve">Playskool record player</t>
  </si>
  <si>
    <t xml:space="preserve">steam pressure gauge</t>
  </si>
  <si>
    <t xml:space="preserve">[uncaptioned] large brass steam gauge, gilt frame</t>
  </si>
  <si>
    <t xml:space="preserve">wind up book reading teddy</t>
  </si>
  <si>
    <t xml:space="preserve">wind up monkey</t>
  </si>
  <si>
    <t xml:space="preserve">wind up cymbol monkey</t>
  </si>
  <si>
    <t xml:space="preserve">wind up elephant</t>
  </si>
  <si>
    <t xml:space="preserve">[uncaptioned] pressure gauges + brass thermometer lot</t>
  </si>
  <si>
    <t xml:space="preserve">pressure gauges</t>
  </si>
  <si>
    <t xml:space="preserve">Happy Time farm</t>
  </si>
  <si>
    <t xml:space="preserve">Hercules Ferris Wheel</t>
  </si>
  <si>
    <t xml:space="preserve">vintage ice crusher</t>
  </si>
  <si>
    <t xml:space="preserve">new decanter set</t>
  </si>
  <si>
    <t xml:space="preserve">railroad spikes</t>
  </si>
  <si>
    <t xml:space="preserve">Advertising Ashtrays</t>
  </si>
  <si>
    <t xml:space="preserve">McDonald's drinking glasses</t>
  </si>
  <si>
    <t xml:space="preserve">Glass/dishware</t>
  </si>
  <si>
    <t xml:space="preserve">[uncaptioned] zither/autoharp instrument</t>
  </si>
  <si>
    <t xml:space="preserve">Wolf Safety Lamp</t>
  </si>
  <si>
    <t xml:space="preserve">[uncaptioned] animated bartender-type toy (second)</t>
  </si>
  <si>
    <t xml:space="preserve">working Charlie Bartender</t>
  </si>
  <si>
    <t xml:space="preserve">fry cook piggy</t>
  </si>
  <si>
    <t xml:space="preserve">cases Budweiser beer glasses</t>
  </si>
  <si>
    <t xml:space="preserve">Lite beer sign</t>
  </si>
  <si>
    <t xml:space="preserve">Old Style beer lamp</t>
  </si>
  <si>
    <t xml:space="preserve">ATV street sign</t>
  </si>
  <si>
    <t xml:space="preserve">[uncaptioned] 'CLOSED - National Prohibition Act' sign</t>
  </si>
  <si>
    <t xml:space="preserve">Colt revolver plaque</t>
  </si>
  <si>
    <t xml:space="preserve">Longhorn cigarette sign</t>
  </si>
  <si>
    <t xml:space="preserve">[uncaptioned] Frostie Root Beer embossed sign</t>
  </si>
  <si>
    <t xml:space="preserve">[uncaptioned] Howel's Root Beer 5-cent sign</t>
  </si>
  <si>
    <t xml:space="preserve">Miller High Life wildlife mirror</t>
  </si>
  <si>
    <t xml:space="preserve">Big Shot pinball game</t>
  </si>
  <si>
    <t xml:space="preserve">[uncaptioned] orange pressed-steel tractor toy</t>
  </si>
  <si>
    <t xml:space="preserve">Tonka truck</t>
  </si>
  <si>
    <t xml:space="preserve">[uncaptioned] green Tonka truck (worn)</t>
  </si>
  <si>
    <t xml:space="preserve">[uncaptioned] yellow Tonka trucks lot</t>
  </si>
  <si>
    <t xml:space="preserve">[uncaptioned] blue/white Tonka pickup</t>
  </si>
  <si>
    <t xml:space="preserve">un-opened trading cards</t>
  </si>
  <si>
    <t xml:space="preserve">Tru-Scale tractors</t>
  </si>
  <si>
    <t xml:space="preserve">[uncaptioned] two orange Tru-Scale-type tractors</t>
  </si>
  <si>
    <t xml:space="preserve">slot cars</t>
  </si>
  <si>
    <t xml:space="preserve">lanterns</t>
  </si>
  <si>
    <t xml:space="preserve">[uncaptioned] pair of camping/barn lanterns</t>
  </si>
  <si>
    <t xml:space="preserve">Automotive badges</t>
  </si>
  <si>
    <t xml:space="preserve">Hot Wheels books</t>
  </si>
  <si>
    <t xml:space="preserve">Tonka trucks</t>
  </si>
  <si>
    <t xml:space="preserve">[uncaptioned] Tonka/Nylint construction toys lot</t>
  </si>
  <si>
    <t xml:space="preserve">Milky toy cow</t>
  </si>
  <si>
    <t xml:space="preserve">Disney fashion doll</t>
  </si>
  <si>
    <t xml:space="preserve">new Barbie doll</t>
  </si>
  <si>
    <t xml:space="preserve">comic books</t>
  </si>
  <si>
    <t xml:space="preserve">action figures</t>
  </si>
  <si>
    <t xml:space="preserve">vintage costume</t>
  </si>
  <si>
    <t xml:space="preserve">Spawn Action figure</t>
  </si>
  <si>
    <t xml:space="preserve">[uncaptioned] boxed Spawn figure</t>
  </si>
  <si>
    <t xml:space="preserve">Dalmatian dog statue</t>
  </si>
  <si>
    <t xml:space="preserve">Dory plush toy</t>
  </si>
  <si>
    <t xml:space="preserve">Motorific play sets</t>
  </si>
  <si>
    <t xml:space="preserve">snow board</t>
  </si>
  <si>
    <t xml:space="preserve">Blue Moon surf board bar sign</t>
  </si>
  <si>
    <t xml:space="preserve">Rum Chata bar sign</t>
  </si>
  <si>
    <t xml:space="preserve">glassware</t>
  </si>
  <si>
    <t xml:space="preserve">crystal glass</t>
  </si>
  <si>
    <t xml:space="preserve">home goods</t>
  </si>
  <si>
    <t xml:space="preserve">Crystal Glass</t>
  </si>
  <si>
    <t xml:space="preserve">[uncaptioned] crystal/glassware bin lot</t>
  </si>
  <si>
    <t xml:space="preserve">Vintage warmer</t>
  </si>
  <si>
    <t xml:space="preserve">dishes</t>
  </si>
  <si>
    <t xml:space="preserve">vintage dish sets</t>
  </si>
  <si>
    <t xml:space="preserve">golden flatware</t>
  </si>
  <si>
    <t xml:space="preserve">[uncaptioned] smalls box (matchbox etc.)</t>
  </si>
  <si>
    <t xml:space="preserve">Louisville Slugger baseball bats</t>
  </si>
  <si>
    <t xml:space="preserve">magnetic letter set</t>
  </si>
  <si>
    <t xml:space="preserve">barware</t>
  </si>
  <si>
    <t xml:space="preserve">kitchenware</t>
  </si>
  <si>
    <t xml:space="preserve">Early Times bar sign</t>
  </si>
  <si>
    <t xml:space="preserve">straight razor</t>
  </si>
  <si>
    <t xml:space="preserve">vintage Sansui headphones</t>
  </si>
  <si>
    <t xml:space="preserve">slide projector</t>
  </si>
  <si>
    <t xml:space="preserve">parking meter</t>
  </si>
  <si>
    <t xml:space="preserve">Preway Junior lantern</t>
  </si>
  <si>
    <t xml:space="preserve">Ash Flash camping lantern</t>
  </si>
  <si>
    <t xml:space="preserve">retro drinking glasses</t>
  </si>
  <si>
    <t xml:space="preserve">antique mantle clock</t>
  </si>
  <si>
    <t xml:space="preserve">Budweiser bar light</t>
  </si>
  <si>
    <t xml:space="preserve">[uncaptioned] bar sign / wood plaque pair</t>
  </si>
  <si>
    <t xml:space="preserve">Gettleman Beer light</t>
  </si>
  <si>
    <t xml:space="preserve">[uncaptioned] University Club Malt Liquor lighted sign</t>
  </si>
  <si>
    <t xml:space="preserve">Blatz beer clock &amp; light</t>
  </si>
  <si>
    <t xml:space="preserve">Pabst Jalopy Bar sign</t>
  </si>
  <si>
    <t xml:space="preserve">Old Milwaukee Bar clock</t>
  </si>
  <si>
    <t xml:space="preserve">Black &amp; White whiskey bar backer</t>
  </si>
  <si>
    <t xml:space="preserve">Old Milwaukee bar sign</t>
  </si>
  <si>
    <t xml:space="preserve">Budweiser lamp</t>
  </si>
  <si>
    <t xml:space="preserve">Pabst Blue Ribbon bar light</t>
  </si>
  <si>
    <t xml:space="preserve">Schlitz bar light</t>
  </si>
  <si>
    <t xml:space="preserve">Antique bourbon bar backer</t>
  </si>
  <si>
    <t xml:space="preserve">Budweiser drop lights</t>
  </si>
  <si>
    <t xml:space="preserve">Schlitz bar lamp</t>
  </si>
  <si>
    <t xml:space="preserve">Pabst bar lamp</t>
  </si>
  <si>
    <t xml:space="preserve">flat irons</t>
  </si>
  <si>
    <t xml:space="preserve">antique tools</t>
  </si>
  <si>
    <t xml:space="preserve">antique emergency box</t>
  </si>
  <si>
    <t xml:space="preserve">Old Style beer pitcher</t>
  </si>
  <si>
    <t xml:space="preserve">glass insulator caps</t>
  </si>
  <si>
    <t xml:space="preserve">Tom &amp; Jerry mugs</t>
  </si>
  <si>
    <t xml:space="preserve">rotary print dryer</t>
  </si>
  <si>
    <t xml:space="preserve">wood planer</t>
  </si>
  <si>
    <t xml:space="preserve">industrial pulleys</t>
  </si>
  <si>
    <t xml:space="preserve">[uncaptioned] cast iron pulleys lot</t>
  </si>
  <si>
    <t xml:space="preserve">grinding wheel stand</t>
  </si>
  <si>
    <t xml:space="preserve">railroad lanterns</t>
  </si>
  <si>
    <t xml:space="preserve">[uncaptioned] railroad lanterns, red globes</t>
  </si>
  <si>
    <t xml:space="preserve">[uncaptioned] railroad lanterns shelf lot</t>
  </si>
  <si>
    <t xml:space="preserve">[uncaptioned] railroad lanterns pair</t>
  </si>
  <si>
    <t xml:space="preserve">[uncaptioned] Labatt Ale sign</t>
  </si>
  <si>
    <t xml:space="preserve">[uncaptioned] Leroux Root Beer Schnapps mirror</t>
  </si>
  <si>
    <t xml:space="preserve">Gordon's dry gin mirror</t>
  </si>
  <si>
    <t xml:space="preserve">Pabst Blue Ribbon sign</t>
  </si>
  <si>
    <t xml:space="preserve">Heineken sign</t>
  </si>
  <si>
    <t xml:space="preserve">Blatz Beer sign</t>
  </si>
  <si>
    <t xml:space="preserve">Miller High Life sign</t>
  </si>
  <si>
    <t xml:space="preserve">[uncaptioned] Whitbread Ale oval mirror</t>
  </si>
  <si>
    <t xml:space="preserve">[uncaptioned] House of Heileman shield sign</t>
  </si>
  <si>
    <t xml:space="preserve">Pabst wildlife mirror</t>
  </si>
  <si>
    <t xml:space="preserve">Old Style bar mirror</t>
  </si>
  <si>
    <t xml:space="preserve">Hamm's Beer tiles</t>
  </si>
  <si>
    <t xml:space="preserve">Miller High Life bar light</t>
  </si>
  <si>
    <t xml:space="preserve">[uncaptioned] Miller HL lighted bottle-bucket sconces, pair</t>
  </si>
  <si>
    <t xml:space="preserve">[uncaptioned] octagon barometer + bottle sconces</t>
  </si>
  <si>
    <t xml:space="preserve">Michelob bar light</t>
  </si>
  <si>
    <t xml:space="preserve">Special Export bar light</t>
  </si>
  <si>
    <t xml:space="preserve">Stroh's beer light</t>
  </si>
  <si>
    <t xml:space="preserve">Miller bouncing ball bar sign</t>
  </si>
  <si>
    <t xml:space="preserve">Pabst wooden sign</t>
  </si>
  <si>
    <t xml:space="preserve">Fresca clock</t>
  </si>
  <si>
    <t xml:space="preserve">Hamm's Beer bar sign</t>
  </si>
  <si>
    <t xml:space="preserve">[uncaptioned] Pabst 'Don't Just Sit There' wood sign</t>
  </si>
  <si>
    <t xml:space="preserve">Budweiser</t>
  </si>
  <si>
    <t xml:space="preserve">Point Amber bar sign</t>
  </si>
  <si>
    <t xml:space="preserve">Blatz beer signs</t>
  </si>
  <si>
    <t xml:space="preserve">[uncaptioned] Schlitz framed sign</t>
  </si>
  <si>
    <t xml:space="preserve">Miller ice cold sign</t>
  </si>
  <si>
    <t xml:space="preserve">Lowenbrau beer sign</t>
  </si>
  <si>
    <t xml:space="preserve">[uncaptioned] malt liquor framed mirror</t>
  </si>
  <si>
    <t xml:space="preserve">[uncaptioned] Lowenbrau/Glenelle framed prints</t>
  </si>
  <si>
    <t xml:space="preserve">Beefeater bar mirror</t>
  </si>
  <si>
    <t xml:space="preserve">Carstairs bar mirror</t>
  </si>
  <si>
    <t xml:space="preserve">Golden Wedding mirror</t>
  </si>
  <si>
    <t xml:space="preserve">Gettelman bar sign</t>
  </si>
  <si>
    <t xml:space="preserve">Stroh's beer mirror</t>
  </si>
  <si>
    <t xml:space="preserve">Old Milwaukee Red mirror</t>
  </si>
  <si>
    <t xml:space="preserve">[uncaptioned] Pabst Blue Ribbon framed wildlife</t>
  </si>
  <si>
    <t xml:space="preserve">Cutty Sark mirror</t>
  </si>
  <si>
    <t xml:space="preserve">Pow-Mia sign</t>
  </si>
  <si>
    <t xml:space="preserve">[uncaptioned] children's print</t>
  </si>
  <si>
    <t xml:space="preserve">Malt Duck bar sign</t>
  </si>
  <si>
    <t xml:space="preserve">Asian decor</t>
  </si>
  <si>
    <t xml:space="preserve">Olympia Beer light</t>
  </si>
  <si>
    <t xml:space="preserve">Schlitz Ice Cold Beer sign clock</t>
  </si>
  <si>
    <t xml:space="preserve">travel posters</t>
  </si>
  <si>
    <t xml:space="preserve">[uncaptioned] Africa airline travel poster</t>
  </si>
  <si>
    <t xml:space="preserve">[uncaptioned] travel poster, night cityscape</t>
  </si>
  <si>
    <t xml:space="preserve">[uncaptioned] United San Francisco cable-car poster</t>
  </si>
  <si>
    <t xml:space="preserve">[uncaptioned] United Pacific Northwest poster (deer)</t>
  </si>
  <si>
    <t xml:space="preserve">[uncaptioned] TWA Ireland travel poster</t>
  </si>
  <si>
    <t xml:space="preserve">[uncaptioned] TWA Switzerland travel poster</t>
  </si>
  <si>
    <t xml:space="preserve">vintage TWA travel poster</t>
  </si>
  <si>
    <t xml:space="preserve">Schlitz beer tray</t>
  </si>
  <si>
    <t xml:space="preserve">Old Milwaukee beer tray</t>
  </si>
  <si>
    <t xml:space="preserve">[uncaptioned] Schlitz Malt Liquor bull charger/tray</t>
  </si>
  <si>
    <t xml:space="preserve">Pabst beer tray</t>
  </si>
  <si>
    <t xml:space="preserve">[uncaptioned] Schlitz tray</t>
  </si>
  <si>
    <t xml:space="preserve">[uncaptioned] Miller tray</t>
  </si>
  <si>
    <t xml:space="preserve">Miller High Life beer tray</t>
  </si>
  <si>
    <t xml:space="preserve">[uncaptioned] Native American beaded leather lot (moccasins, pouches)</t>
  </si>
  <si>
    <t xml:space="preserve">Native American/SW</t>
  </si>
  <si>
    <t xml:space="preserve">native American dolls</t>
  </si>
  <si>
    <t xml:space="preserve">[uncaptioned] Native American pottery box lot (large)</t>
  </si>
  <si>
    <t xml:space="preserve">[uncaptioned] NA pottery/carvings box lot</t>
  </si>
  <si>
    <t xml:space="preserve">[uncaptioned] NA carvings box lot</t>
  </si>
  <si>
    <t xml:space="preserve">[uncaptioned] NA pottery box lot</t>
  </si>
  <si>
    <t xml:space="preserve">New Beaver State wool blanket</t>
  </si>
  <si>
    <t xml:space="preserve">Beaver State blanket</t>
  </si>
  <si>
    <t xml:space="preserve">Pendleton Beaver State blanket</t>
  </si>
  <si>
    <t xml:space="preserve">[uncaptioned] NA crafts box lot</t>
  </si>
  <si>
    <t xml:space="preserve">[uncaptioned] painted maracas/gourds</t>
  </si>
  <si>
    <t xml:space="preserve">belt buckles</t>
  </si>
  <si>
    <t xml:space="preserve">Jewelry/accessories</t>
  </si>
  <si>
    <t xml:space="preserve">[uncaptioned] leather belts lot</t>
  </si>
  <si>
    <t xml:space="preserve">dream catchers</t>
  </si>
  <si>
    <t xml:space="preserve">leather wallets</t>
  </si>
  <si>
    <t xml:space="preserve">[uncaptioned] dreamcatchers/small crafts lot</t>
  </si>
  <si>
    <t xml:space="preserve">Native american collectibles</t>
  </si>
  <si>
    <t xml:space="preserve">mini Totem poles</t>
  </si>
  <si>
    <t xml:space="preserve">Sand art tiles</t>
  </si>
  <si>
    <t xml:space="preserve">Native American blankets</t>
  </si>
  <si>
    <t xml:space="preserve">[uncaptioned] serape/NA blankets lot</t>
  </si>
  <si>
    <t xml:space="preserve">fishing lures</t>
  </si>
  <si>
    <t xml:space="preserve">jewelry displays</t>
  </si>
  <si>
    <t xml:space="preserve">sewing box drawers</t>
  </si>
  <si>
    <t xml:space="preserve">rhinestone jewelry</t>
  </si>
  <si>
    <t xml:space="preserve">costume jewelry</t>
  </si>
  <si>
    <t xml:space="preserve">antique hat pins</t>
  </si>
  <si>
    <t xml:space="preserve">Auto piano</t>
  </si>
  <si>
    <t xml:space="preserve">bird cage</t>
  </si>
  <si>
    <t xml:space="preserve">figurine lamps</t>
  </si>
  <si>
    <t xml:space="preserve">view master</t>
  </si>
  <si>
    <t xml:space="preserve">[uncaptioned] doll + wire doll furniture</t>
  </si>
  <si>
    <t xml:space="preserve">[uncaptioned] pinback buttons/badges tray</t>
  </si>
  <si>
    <t xml:space="preserve">magnifying glasses</t>
  </si>
  <si>
    <t xml:space="preserve">dolls</t>
  </si>
  <si>
    <t xml:space="preserve">Jorgensen wood clamp</t>
  </si>
  <si>
    <t xml:space="preserve">marbles</t>
  </si>
  <si>
    <t xml:space="preserve">nesting dolls</t>
  </si>
  <si>
    <t xml:space="preserve">holiday decor</t>
  </si>
  <si>
    <t xml:space="preserve">vintage books</t>
  </si>
  <si>
    <t xml:space="preserve">[uncaptioned] monocular/optics lot</t>
  </si>
  <si>
    <t xml:space="preserve">record albums</t>
  </si>
  <si>
    <t xml:space="preserve">enamel pot</t>
  </si>
  <si>
    <t xml:space="preserve">dealer promo cars</t>
  </si>
  <si>
    <t xml:space="preserve">[uncaptioned] dishes box lot</t>
  </si>
  <si>
    <t xml:space="preserve">toys</t>
  </si>
  <si>
    <t xml:space="preserve">oil cans</t>
  </si>
  <si>
    <t xml:space="preserve">wool blanket</t>
  </si>
  <si>
    <t xml:space="preserve">[uncaptioned] decorative fruit bowl</t>
  </si>
  <si>
    <t xml:space="preserve">Matchbox &amp; Hot Wheels cars</t>
  </si>
  <si>
    <t xml:space="preserve">[uncaptioned] mugs/wood plane/misc lot</t>
  </si>
  <si>
    <t xml:space="preserve">enamelware</t>
  </si>
  <si>
    <t xml:space="preserve">[uncaptioned] kitchen misc lot</t>
  </si>
  <si>
    <t xml:space="preserve">[uncaptioned] boxed movie camera</t>
  </si>
  <si>
    <t xml:space="preserve">[uncaptioned] crystal ornament + plate</t>
  </si>
  <si>
    <t xml:space="preserve">camping cookware</t>
  </si>
  <si>
    <t xml:space="preserve">Annalee Plush mouse</t>
  </si>
  <si>
    <t xml:space="preserve">smoking pipe</t>
  </si>
  <si>
    <t xml:space="preserve">[uncaptioned] glass/crystal lot</t>
  </si>
  <si>
    <t xml:space="preserve">[uncaptioned] Spider-Man + toys lot</t>
  </si>
  <si>
    <t xml:space="preserve">Schlitz beer mugs</t>
  </si>
  <si>
    <t xml:space="preserve">beer steins</t>
  </si>
  <si>
    <t xml:space="preserve">bar glasses</t>
  </si>
  <si>
    <t xml:space="preserve">[uncaptioned] stemware/glasses shelf lot</t>
  </si>
  <si>
    <t xml:space="preserve">[uncaptioned] character drinking glasses box</t>
  </si>
  <si>
    <t xml:space="preserve">[uncaptioned] glasses/barware box</t>
  </si>
  <si>
    <t xml:space="preserve">[uncaptioned] bar glasses box</t>
  </si>
  <si>
    <t xml:space="preserve">[uncaptioned] stemware/bottles box</t>
  </si>
  <si>
    <t xml:space="preserve">matchbooks</t>
  </si>
  <si>
    <t xml:space="preserve">vintage radio</t>
  </si>
  <si>
    <t xml:space="preserve">[uncaptioned] matchbooks + wood item</t>
  </si>
  <si>
    <t xml:space="preserve">brass bell</t>
  </si>
  <si>
    <t xml:space="preserve">tractor seat</t>
  </si>
  <si>
    <t xml:space="preserve">beer tap handles</t>
  </si>
  <si>
    <t xml:space="preserve">[uncaptioned] beer tap handles box lot</t>
  </si>
  <si>
    <t xml:space="preserve">switch light lens</t>
  </si>
  <si>
    <t xml:space="preserve">[uncaptioned] colored lens spheres/shades</t>
  </si>
  <si>
    <t xml:space="preserve">[uncaptioned] smalls/razors box</t>
  </si>
  <si>
    <t xml:space="preserve">Bell &amp; Howell 8mm movie camera</t>
  </si>
  <si>
    <t xml:space="preserve">Minolta 35mm camera</t>
  </si>
  <si>
    <t xml:space="preserve">Canon AE 1 camera</t>
  </si>
  <si>
    <t xml:space="preserve">Spawn</t>
  </si>
  <si>
    <t xml:space="preserve">WWII Battle Ground play set</t>
  </si>
  <si>
    <t xml:space="preserve">[uncaptioned] plastic army men lot</t>
  </si>
  <si>
    <t xml:space="preserve">Hot Wheels Sizzlers cars &amp; track</t>
  </si>
  <si>
    <t xml:space="preserve">Lugz store display</t>
  </si>
  <si>
    <t xml:space="preserve">Mustang toy car</t>
  </si>
  <si>
    <t xml:space="preserve">[uncaptioned] brass/bronze star plaque</t>
  </si>
  <si>
    <t xml:space="preserve">razors</t>
  </si>
  <si>
    <t xml:space="preserve">RPG manuals</t>
  </si>
  <si>
    <t xml:space="preserve">pocket knives</t>
  </si>
  <si>
    <t xml:space="preserve">mounted alligators</t>
  </si>
  <si>
    <t xml:space="preserve">Christmas ornaments</t>
  </si>
  <si>
    <t xml:space="preserve">vintage board games</t>
  </si>
  <si>
    <t xml:space="preserve">[uncaptioned] vintage games (Ker-Plunk etc.)</t>
  </si>
  <si>
    <t xml:space="preserve">mini globe</t>
  </si>
  <si>
    <t xml:space="preserve">[uncaptioned] pennant + smalls lot</t>
  </si>
  <si>
    <t xml:space="preserve">Cruella DeVil bobble head</t>
  </si>
  <si>
    <t xml:space="preserve">Jim Shore Wizard OZ figure</t>
  </si>
  <si>
    <t xml:space="preserve">Snoopy music box</t>
  </si>
  <si>
    <t xml:space="preserve">[uncaptioned] long boxed set (train/toy, Chicago maker)</t>
  </si>
  <si>
    <t xml:space="preserve">flower frog</t>
  </si>
  <si>
    <t xml:space="preserve">Daredevil masterworks book</t>
  </si>
  <si>
    <t xml:space="preserve">[uncaptioned] boxed toys/dolls lot</t>
  </si>
  <si>
    <t xml:space="preserve">[uncaptioned] vintage games (Tip-It, fish bait game)</t>
  </si>
  <si>
    <t xml:space="preserve">Playboy magazines</t>
  </si>
  <si>
    <t xml:space="preserve">fasion dolls</t>
  </si>
  <si>
    <t xml:space="preserve">[uncaptioned] Disney/Mickey plush lot</t>
  </si>
  <si>
    <t xml:space="preserve">[uncaptioned] egg cups set</t>
  </si>
  <si>
    <t xml:space="preserve">Yosemite Sam plush toy</t>
  </si>
  <si>
    <t xml:space="preserve">plastic farm toys</t>
  </si>
  <si>
    <t xml:space="preserve">mini slot machine</t>
  </si>
  <si>
    <t xml:space="preserve">cash register bank</t>
  </si>
  <si>
    <t xml:space="preserve">cat figurine</t>
  </si>
  <si>
    <t xml:space="preserve">collectibles</t>
  </si>
  <si>
    <t xml:space="preserve">kitchen tins</t>
  </si>
  <si>
    <t xml:space="preserve">[uncaptioned] mugs + Ray-O-Vac sign lot</t>
  </si>
  <si>
    <t xml:space="preserve">Beanie Babies</t>
  </si>
  <si>
    <t xml:space="preserve">[uncaptioned] Hummel-style figurines lot</t>
  </si>
  <si>
    <t xml:space="preserve">[uncaptioned] figurines/trolls box lot</t>
  </si>
  <si>
    <t xml:space="preserve">purses</t>
  </si>
  <si>
    <t xml:space="preserve">large beer stein</t>
  </si>
  <si>
    <t xml:space="preserve">[uncaptioned] bronze/brass face mask sculpture</t>
  </si>
  <si>
    <t xml:space="preserve">Japanese tea pot</t>
  </si>
  <si>
    <t xml:space="preserve">[uncaptioned] lanterns/figural decor lot</t>
  </si>
  <si>
    <t xml:space="preserve">[uncaptioned] cymbal monkey toy (second)</t>
  </si>
  <si>
    <t xml:space="preserve">Japanese figurines</t>
  </si>
  <si>
    <t xml:space="preserve">[uncaptioned] pre-Columbian style pottery figures</t>
  </si>
  <si>
    <t xml:space="preserve">serving dishes</t>
  </si>
  <si>
    <t xml:space="preserve">[uncaptioned] boxed miniature figurine set</t>
  </si>
  <si>
    <t xml:space="preserve">Ray-O-Vac trash can</t>
  </si>
  <si>
    <t xml:space="preserve">truck bank</t>
  </si>
  <si>
    <t xml:space="preserve">Buss Fuse display</t>
  </si>
  <si>
    <t xml:space="preserve">Harley Davidson collectibles</t>
  </si>
  <si>
    <t xml:space="preserve">Polar Bear tapestry</t>
  </si>
  <si>
    <t xml:space="preserve">Harris Lion Bank</t>
  </si>
  <si>
    <t xml:space="preserve">[uncaptioned] satsuma-style vases + tin sign</t>
  </si>
  <si>
    <t xml:space="preserve">Asian vase</t>
  </si>
  <si>
    <t xml:space="preserve">[uncaptioned] vases + crystal decanter</t>
  </si>
  <si>
    <t xml:space="preserve">[uncaptioned] Asian figurine lot</t>
  </si>
  <si>
    <t xml:space="preserve">Furby toy</t>
  </si>
  <si>
    <t xml:space="preserve">plant shelf</t>
  </si>
  <si>
    <t xml:space="preserve">[uncaptioned] stoneware dragon jug</t>
  </si>
  <si>
    <t xml:space="preserve">Craftsman 105pc Socket Set</t>
  </si>
  <si>
    <t xml:space="preserve">[uncaptioned] wood tray</t>
  </si>
  <si>
    <t xml:space="preserve">[uncaptioned] brass dragon figures</t>
  </si>
  <si>
    <t xml:space="preserve">baseball cards</t>
  </si>
  <si>
    <t xml:space="preserve">[uncaptioned] bulk trading card boxes (thousands loose)</t>
  </si>
  <si>
    <t xml:space="preserve">[uncaptioned] terracotta pot</t>
  </si>
  <si>
    <t xml:space="preserve">[uncaptioned] enamel pot w/ lid</t>
  </si>
  <si>
    <t xml:space="preserve">[uncaptioned] framed Princess Diana tray/print</t>
  </si>
  <si>
    <t xml:space="preserve">[uncaptioned] basket w/ misc + vase</t>
  </si>
  <si>
    <t xml:space="preserve">cloth American flags</t>
  </si>
  <si>
    <t xml:space="preserve">shoe last</t>
  </si>
  <si>
    <t xml:space="preserve">Little Golden Books</t>
  </si>
  <si>
    <t xml:space="preserve">Postcards</t>
  </si>
  <si>
    <t xml:space="preserve">blue Ball jars</t>
  </si>
  <si>
    <t xml:space="preserve">first aid kit</t>
  </si>
  <si>
    <t xml:space="preserve">children's books</t>
  </si>
  <si>
    <t xml:space="preserve">[uncaptioned] framed art prints set (Monet/Renoir/Degas)</t>
  </si>
  <si>
    <t xml:space="preserve">[uncaptioned] toys box lot</t>
  </si>
  <si>
    <t xml:space="preserve">signed Wilson footballs</t>
  </si>
  <si>
    <t xml:space="preserve">art glass bowl</t>
  </si>
  <si>
    <t xml:space="preserve">gas can</t>
  </si>
  <si>
    <t xml:space="preserve">hardware</t>
  </si>
  <si>
    <t xml:space="preserve">smalls</t>
  </si>
  <si>
    <t xml:space="preserve">DVD movies</t>
  </si>
  <si>
    <t xml:space="preserve">stained glass hanging lamp</t>
  </si>
  <si>
    <t xml:space="preserve">children's records</t>
  </si>
  <si>
    <t xml:space="preserve">bull whip</t>
  </si>
  <si>
    <t xml:space="preserve">YMCA Thin Mints box</t>
  </si>
  <si>
    <t xml:space="preserve">[uncaptioned] 8-track/cassette box set</t>
  </si>
  <si>
    <t xml:space="preserve">Danbury Mint Princess Diana doll</t>
  </si>
  <si>
    <t xml:space="preserve">Diana Doll &amp; clothes</t>
  </si>
  <si>
    <t xml:space="preserve">Listing text item (from auction page)</t>
  </si>
  <si>
    <t xml:space="preserve">Matched photo #(s)</t>
  </si>
  <si>
    <t xml:space="preserve">Match quality</t>
  </si>
  <si>
    <t xml:space="preserve">Staff verify / notes</t>
  </si>
  <si>
    <t xml:space="preserve">bar signs</t>
  </si>
  <si>
    <t xml:space="preserve">NO PHOTO FOUND - listed in text only</t>
  </si>
  <si>
    <t xml:space="preserve">fp190, fp189, fp188, fp187, fp186, fp185, fp184, fp183</t>
  </si>
  <si>
    <t xml:space="preserve">matched</t>
  </si>
  <si>
    <t xml:space="preserve">vintage travel posters</t>
  </si>
  <si>
    <t xml:space="preserve">fp239, fp254, fp253, fp252, fp251, fp250, fp247, fp246</t>
  </si>
  <si>
    <t xml:space="preserve">fp10, fp8, fp6, fp9, fp7, fp5</t>
  </si>
  <si>
    <t xml:space="preserve">fp36, fp321</t>
  </si>
  <si>
    <t xml:space="preserve">fp37, fp65</t>
  </si>
  <si>
    <t xml:space="preserve">10 gallon Red Wing stoneware crock</t>
  </si>
  <si>
    <t xml:space="preserve">fp40, fp39</t>
  </si>
  <si>
    <t xml:space="preserve">partial - verify</t>
  </si>
  <si>
    <t xml:space="preserve">fp41, fp363</t>
  </si>
  <si>
    <t xml:space="preserve">fp42, fp455</t>
  </si>
  <si>
    <t xml:space="preserve">antique fruit crates</t>
  </si>
  <si>
    <t xml:space="preserve">fp43, fp323</t>
  </si>
  <si>
    <t xml:space="preserve">fp44</t>
  </si>
  <si>
    <t xml:space="preserve">miniature cuckoo clock</t>
  </si>
  <si>
    <t xml:space="preserve">fp47, fp238, fp213, fp168, fp159, fp158, fp156, fp150</t>
  </si>
  <si>
    <t xml:space="preserve">fp49</t>
  </si>
  <si>
    <t xml:space="preserve">transistor radios</t>
  </si>
  <si>
    <t xml:space="preserve">fp48</t>
  </si>
  <si>
    <t xml:space="preserve">fp52</t>
  </si>
  <si>
    <t xml:space="preserve">fp50</t>
  </si>
  <si>
    <t xml:space="preserve">fp51, fp14</t>
  </si>
  <si>
    <t xml:space="preserve">fp53, fp150</t>
  </si>
  <si>
    <t xml:space="preserve">fp55</t>
  </si>
  <si>
    <t xml:space="preserve">wind up toys</t>
  </si>
  <si>
    <t xml:space="preserve">fp62, fp61, fp59, fp58</t>
  </si>
  <si>
    <t xml:space="preserve">Lite Brite</t>
  </si>
  <si>
    <t xml:space="preserve">fp54, fp191, fp79</t>
  </si>
  <si>
    <t xml:space="preserve">Happy Time tin farm</t>
  </si>
  <si>
    <t xml:space="preserve">fp66</t>
  </si>
  <si>
    <t xml:space="preserve">vintage pressure valves</t>
  </si>
  <si>
    <t xml:space="preserve">fp64, fp63, fp56</t>
  </si>
  <si>
    <t xml:space="preserve">battery operated Smokey Bear Jeep</t>
  </si>
  <si>
    <t xml:space="preserve">fp65</t>
  </si>
  <si>
    <t xml:space="preserve">Hercules Ferris wheel</t>
  </si>
  <si>
    <t xml:space="preserve">fp67</t>
  </si>
  <si>
    <t xml:space="preserve">Charlie Weaver bartender</t>
  </si>
  <si>
    <t xml:space="preserve">fp76</t>
  </si>
  <si>
    <t xml:space="preserve">fp70, fp190, fp189, fp188, fp187, fp186, fp185, fp184</t>
  </si>
  <si>
    <t xml:space="preserve">advertising ashtrays</t>
  </si>
  <si>
    <t xml:space="preserve">fp71</t>
  </si>
  <si>
    <t xml:space="preserve">vintage McDonald's drinking glasses</t>
  </si>
  <si>
    <t xml:space="preserve">fp72, fp339, fp149</t>
  </si>
  <si>
    <t xml:space="preserve">antique brass ships light</t>
  </si>
  <si>
    <t xml:space="preserve">fp427, fp404, fp367, fp347, fp63, fp57</t>
  </si>
  <si>
    <t xml:space="preserve">Blue Moon surfboard</t>
  </si>
  <si>
    <t xml:space="preserve">fp123</t>
  </si>
  <si>
    <t xml:space="preserve">RumChata beach club surfboard</t>
  </si>
  <si>
    <t xml:space="preserve">fp155</t>
  </si>
  <si>
    <t xml:space="preserve">Motorific torture track playsets</t>
  </si>
  <si>
    <t xml:space="preserve">fp453, fp364, fp121</t>
  </si>
  <si>
    <t xml:space="preserve">Budweiser drinking glasses</t>
  </si>
  <si>
    <t xml:space="preserve">fp339, fp149, fp78, fp72</t>
  </si>
  <si>
    <t xml:space="preserve">Bud Light drinking glasses</t>
  </si>
  <si>
    <t xml:space="preserve">fp339, fp149, fp72</t>
  </si>
  <si>
    <t xml:space="preserve">fp418, fp409, fp400, fp202, fp175, fp80</t>
  </si>
  <si>
    <t xml:space="preserve">vintage Miller Lite beer sign</t>
  </si>
  <si>
    <t xml:space="preserve">fp262, fp261, fp220, fp211, fp205, fp204, fp198, fp191</t>
  </si>
  <si>
    <t xml:space="preserve">ATV street signs</t>
  </si>
  <si>
    <t xml:space="preserve">fp81</t>
  </si>
  <si>
    <t xml:space="preserve">Longhorn tobacco sign</t>
  </si>
  <si>
    <t xml:space="preserve">fp84</t>
  </si>
  <si>
    <t xml:space="preserve">Miller High Life bar mirror</t>
  </si>
  <si>
    <t xml:space="preserve">fp262, fp204, fp198, fp87, fp12</t>
  </si>
  <si>
    <t xml:space="preserve">antique Big Shot pinball game</t>
  </si>
  <si>
    <t xml:space="preserve">fp88</t>
  </si>
  <si>
    <t xml:space="preserve">tin signs</t>
  </si>
  <si>
    <t xml:space="preserve">fp418</t>
  </si>
  <si>
    <t xml:space="preserve">fp109, fp95, fp110, fp100, fp97, fp96, fp94, fp92</t>
  </si>
  <si>
    <t xml:space="preserve">Nylint trucks</t>
  </si>
  <si>
    <t xml:space="preserve">fp110, fp109, fp98, fp95</t>
  </si>
  <si>
    <t xml:space="preserve">Structo transport car carrier</t>
  </si>
  <si>
    <t xml:space="preserve">fp99</t>
  </si>
  <si>
    <t xml:space="preserve">Tru Scale farm tractors</t>
  </si>
  <si>
    <t xml:space="preserve">fp103, fp102</t>
  </si>
  <si>
    <t xml:space="preserve">trading cards</t>
  </si>
  <si>
    <t xml:space="preserve">fp101, fp429, fp428</t>
  </si>
  <si>
    <t xml:space="preserve">fp104, fp393, fp364, fp324, fp318</t>
  </si>
  <si>
    <t xml:space="preserve">miniature Tonka trucks</t>
  </si>
  <si>
    <t xml:space="preserve">Barbie dolls</t>
  </si>
  <si>
    <t xml:space="preserve">fp388, fp385, fp312, fp309, fp280, fp264, fp113</t>
  </si>
  <si>
    <t xml:space="preserve">fp114, fp440, fp436, fp314, fp108</t>
  </si>
  <si>
    <t xml:space="preserve">fp89</t>
  </si>
  <si>
    <t xml:space="preserve">Spawn action figures</t>
  </si>
  <si>
    <t xml:space="preserve">fp360, fp117, fp115</t>
  </si>
  <si>
    <t xml:space="preserve">Dory plush fish</t>
  </si>
  <si>
    <t xml:space="preserve">fp120</t>
  </si>
  <si>
    <t xml:space="preserve">vintage Stripe the Pup Halloween costume</t>
  </si>
  <si>
    <t xml:space="preserve">fp300, fp116</t>
  </si>
  <si>
    <t xml:space="preserve">Milky the Marvelous Milking Cow toy</t>
  </si>
  <si>
    <t xml:space="preserve">fp111</t>
  </si>
  <si>
    <t xml:space="preserve">fp14</t>
  </si>
  <si>
    <t xml:space="preserve">Miller High Life barrel sign</t>
  </si>
  <si>
    <t xml:space="preserve">fp12, fp262, fp204, fp198, fp87</t>
  </si>
  <si>
    <t xml:space="preserve">Miller Lite barrel sign</t>
  </si>
  <si>
    <t xml:space="preserve">fp12</t>
  </si>
  <si>
    <t xml:space="preserve">large wall thermometer</t>
  </si>
  <si>
    <t xml:space="preserve">fp11, fp63, fp19</t>
  </si>
  <si>
    <t xml:space="preserve">fp17, fp16, fp15, fp336</t>
  </si>
  <si>
    <t xml:space="preserve">miniature cast-iron stove</t>
  </si>
  <si>
    <t xml:space="preserve">fp20, fp181</t>
  </si>
  <si>
    <t xml:space="preserve">carved wooden masks</t>
  </si>
  <si>
    <t xml:space="preserve">fp18</t>
  </si>
  <si>
    <t xml:space="preserve">ice skates</t>
  </si>
  <si>
    <t xml:space="preserve">fp238, fp220, fp68</t>
  </si>
  <si>
    <t xml:space="preserve">railway switch lamps</t>
  </si>
  <si>
    <t xml:space="preserve">fp34, fp32, fp30, fp29, fp28, fp26, fp25, fp23</t>
  </si>
  <si>
    <t xml:space="preserve">fp131, fp129, fp125</t>
  </si>
  <si>
    <t xml:space="preserve">crystal</t>
  </si>
  <si>
    <t xml:space="preserve">fp420, fp333, fp329, fp131, fp129, fp128, fp126</t>
  </si>
  <si>
    <t xml:space="preserve">dishware</t>
  </si>
  <si>
    <t xml:space="preserve">beer serving trays</t>
  </si>
  <si>
    <t xml:space="preserve">fp410</t>
  </si>
  <si>
    <t xml:space="preserve">fp266, fp265, fp294, fp292, fp290, fp288, fp287, fp282</t>
  </si>
  <si>
    <t xml:space="preserve">miniature totem poles</t>
  </si>
  <si>
    <t xml:space="preserve">fp284</t>
  </si>
  <si>
    <t xml:space="preserve">sand art</t>
  </si>
  <si>
    <t xml:space="preserve">fp286, fp444, fp441</t>
  </si>
  <si>
    <t xml:space="preserve">fp294, fp292, fp290, fp288, fp287, fp282, fp266, fp265</t>
  </si>
  <si>
    <t xml:space="preserve">fp280, fp388, fp385, fp312, fp309, fp264</t>
  </si>
  <si>
    <t xml:space="preserve">fp278, fp276, fp263</t>
  </si>
  <si>
    <t xml:space="preserve">fp277</t>
  </si>
  <si>
    <t xml:space="preserve">fp275</t>
  </si>
  <si>
    <t xml:space="preserve">Pendleton Beaver State wool blankets</t>
  </si>
  <si>
    <t xml:space="preserve">fp272, fp270</t>
  </si>
  <si>
    <t xml:space="preserve">vintage TWA travel posters</t>
  </si>
  <si>
    <t xml:space="preserve">fp254, fp253, fp252, fp251, fp250, fp240, fp239, fp1</t>
  </si>
  <si>
    <t xml:space="preserve">vintage United Airlines travel posters</t>
  </si>
  <si>
    <t xml:space="preserve">fp247, fp246, fp239</t>
  </si>
  <si>
    <t xml:space="preserve">Schlitz Ice Cold beer sign</t>
  </si>
  <si>
    <t xml:space="preserve">fp238, fp220</t>
  </si>
  <si>
    <t xml:space="preserve">Olympia beer lamp</t>
  </si>
  <si>
    <t xml:space="preserve">fp237</t>
  </si>
  <si>
    <t xml:space="preserve">Pabst Blue Ribbon wildlife sign</t>
  </si>
  <si>
    <t xml:space="preserve">fp231, fp195, fp164, fp2, fp201</t>
  </si>
  <si>
    <t xml:space="preserve">Old Milwaukee Red bar mirror</t>
  </si>
  <si>
    <t xml:space="preserve">fp230, fp256, fp188, fp184, fp162, fp159, fp31</t>
  </si>
  <si>
    <t xml:space="preserve">Stroh's Salutes Wisconsin bar mirror</t>
  </si>
  <si>
    <t xml:space="preserve">fp229, fp209</t>
  </si>
  <si>
    <t xml:space="preserve">Gettleman beer sign</t>
  </si>
  <si>
    <t xml:space="preserve">fp154</t>
  </si>
  <si>
    <t xml:space="preserve">Golden Wedding whiskey mirror</t>
  </si>
  <si>
    <t xml:space="preserve">fp226</t>
  </si>
  <si>
    <t xml:space="preserve">Beefeater</t>
  </si>
  <si>
    <t xml:space="preserve">fp224</t>
  </si>
  <si>
    <t xml:space="preserve">Heineken</t>
  </si>
  <si>
    <t xml:space="preserve">fp196</t>
  </si>
  <si>
    <t xml:space="preserve">Blatz beer sign</t>
  </si>
  <si>
    <t xml:space="preserve">fp218, fp197, fp156</t>
  </si>
  <si>
    <t xml:space="preserve">Lowenbrau</t>
  </si>
  <si>
    <t xml:space="preserve">fp223, fp221</t>
  </si>
  <si>
    <t xml:space="preserve">Schlitz</t>
  </si>
  <si>
    <t xml:space="preserve">fp335, fp260, fp258, fp257, fp255, fp238, fp219, fp210</t>
  </si>
  <si>
    <t xml:space="preserve">Point Amber</t>
  </si>
  <si>
    <t xml:space="preserve">fp217, fp29</t>
  </si>
  <si>
    <t xml:space="preserve">Budweiser bar mirror</t>
  </si>
  <si>
    <t xml:space="preserve">fp216, fp169, fp163, fp152, fp78</t>
  </si>
  <si>
    <t xml:space="preserve">Hamm's beer sign</t>
  </si>
  <si>
    <t xml:space="preserve">fp214, fp203</t>
  </si>
  <si>
    <t xml:space="preserve">Pabst Blue Ribbon wooden bar signs</t>
  </si>
  <si>
    <t xml:space="preserve">fp231, fp195, fp164, fp2, fp212</t>
  </si>
  <si>
    <t xml:space="preserve">Miller High Life bouncing ball bar sign</t>
  </si>
  <si>
    <t xml:space="preserve">fp262, fp211, fp204, fp198, fp87, fp12</t>
  </si>
  <si>
    <t xml:space="preserve">Special Export bar sign</t>
  </si>
  <si>
    <t xml:space="preserve">fp208</t>
  </si>
  <si>
    <t xml:space="preserve">Miller High Life champagne of bottle beer bar light</t>
  </si>
  <si>
    <t xml:space="preserve">Old Style mirror</t>
  </si>
  <si>
    <t xml:space="preserve">fp203, fp286, fp214</t>
  </si>
  <si>
    <t xml:space="preserve">vintage Blatz beer bar sign</t>
  </si>
  <si>
    <t xml:space="preserve">fp137</t>
  </si>
  <si>
    <t xml:space="preserve">fp139, fp83</t>
  </si>
  <si>
    <t xml:space="preserve">fp146</t>
  </si>
  <si>
    <t xml:space="preserve">vintage Preway Junior camp lantern</t>
  </si>
  <si>
    <t xml:space="preserve">fp147</t>
  </si>
  <si>
    <t xml:space="preserve">fp341, fp140</t>
  </si>
  <si>
    <t xml:space="preserve">fp150, fp53, fp238, fp213, fp168, fp159, fp158, fp156</t>
  </si>
  <si>
    <t xml:space="preserve">antique carbide miner lamp</t>
  </si>
  <si>
    <t xml:space="preserve">fp151</t>
  </si>
  <si>
    <t xml:space="preserve">vintage drinking glasses</t>
  </si>
  <si>
    <t xml:space="preserve">fp339, fp149, fp72, fp342, fp341, fp340, fp338, fp337</t>
  </si>
  <si>
    <t xml:space="preserve">fp2, fp231, fp195, fp164</t>
  </si>
  <si>
    <t xml:space="preserve">Pabst Blue Ribbon jalopy bar backer</t>
  </si>
  <si>
    <t xml:space="preserve">Old Milwaukee bar backer</t>
  </si>
  <si>
    <t xml:space="preserve">fp256, fp230, fp167, fp162, fp161, fp159, fp2</t>
  </si>
  <si>
    <t xml:space="preserve">Blatz beer bar clock</t>
  </si>
  <si>
    <t xml:space="preserve">fp156, fp238, fp218, fp213, fp197, fp168, fp159, fp158</t>
  </si>
  <si>
    <t xml:space="preserve">Old Milwaukee bar clock</t>
  </si>
  <si>
    <t xml:space="preserve">fp159, fp256, fp238, fp230, fp213, fp168, fp162, fp158</t>
  </si>
  <si>
    <t xml:space="preserve">fp166, fp160, fp376, fp335, fp260, fp258, fp257, fp255</t>
  </si>
  <si>
    <t xml:space="preserve">fp231, fp195, fp164, fp2</t>
  </si>
  <si>
    <t xml:space="preserve">fp168</t>
  </si>
  <si>
    <t xml:space="preserve">fp172</t>
  </si>
  <si>
    <t xml:space="preserve">vintage tools</t>
  </si>
  <si>
    <t xml:space="preserve">fp173</t>
  </si>
  <si>
    <t xml:space="preserve">fp176</t>
  </si>
  <si>
    <t xml:space="preserve">vintage emergency fire box</t>
  </si>
  <si>
    <t xml:space="preserve">fp174</t>
  </si>
  <si>
    <t xml:space="preserve">Tom and Jerry mugs</t>
  </si>
  <si>
    <t xml:space="preserve">fp177</t>
  </si>
  <si>
    <t xml:space="preserve">fp178</t>
  </si>
  <si>
    <t xml:space="preserve">fp180, fp181</t>
  </si>
  <si>
    <t xml:space="preserve">pedestal grinder</t>
  </si>
  <si>
    <t xml:space="preserve">fp182</t>
  </si>
  <si>
    <t xml:space="preserve">matched (grinding wheel stand)</t>
  </si>
  <si>
    <t xml:space="preserve">vintage Schlitz beer mugs</t>
  </si>
  <si>
    <t xml:space="preserve">fp335, fp398, fp325, fp260, fp258, fp257, fp255, fp238</t>
  </si>
  <si>
    <t xml:space="preserve">fp342, fp341, fp340, fp339, fp338, fp337, fp308, fp149</t>
  </si>
  <si>
    <t xml:space="preserve">fp352, fp351, fp350, fp349</t>
  </si>
  <si>
    <t xml:space="preserve">fp347, fp427, fp404, fp367, fp357, fp63, fp57</t>
  </si>
  <si>
    <t xml:space="preserve">fp346, fp344</t>
  </si>
  <si>
    <t xml:space="preserve">vintage AM radio</t>
  </si>
  <si>
    <t xml:space="preserve">fp345</t>
  </si>
  <si>
    <t xml:space="preserve">glass lenses</t>
  </si>
  <si>
    <t xml:space="preserve">fp449, fp444, fp333, fp176, fp128, fp126, fp31, fp29</t>
  </si>
  <si>
    <t xml:space="preserve">fp357</t>
  </si>
  <si>
    <t xml:space="preserve">fp358</t>
  </si>
  <si>
    <t xml:space="preserve">Canon AE-1 camera</t>
  </si>
  <si>
    <t xml:space="preserve">fp359, fp358, fp357, fp328, fp45</t>
  </si>
  <si>
    <t xml:space="preserve">Hot Wheels Sizzlers playset</t>
  </si>
  <si>
    <t xml:space="preserve">fp364, fp324, fp108</t>
  </si>
  <si>
    <t xml:space="preserve">fp360, fp115</t>
  </si>
  <si>
    <t xml:space="preserve">World War II Battleground playset</t>
  </si>
  <si>
    <t xml:space="preserve">fp362</t>
  </si>
  <si>
    <t xml:space="preserve">large scale toy Mustang</t>
  </si>
  <si>
    <t xml:space="preserve">fp366, fp103, fp102</t>
  </si>
  <si>
    <t xml:space="preserve">LUGZ Funk Master Flex store display</t>
  </si>
  <si>
    <t xml:space="preserve">fp365</t>
  </si>
  <si>
    <t xml:space="preserve">role-playing game manuals</t>
  </si>
  <si>
    <t xml:space="preserve">fp386, fp370, fp88</t>
  </si>
  <si>
    <t xml:space="preserve">stuffed alligators</t>
  </si>
  <si>
    <t xml:space="preserve">fp372</t>
  </si>
  <si>
    <t xml:space="preserve">fp371, fp48</t>
  </si>
  <si>
    <t xml:space="preserve">board games</t>
  </si>
  <si>
    <t xml:space="preserve">fp377, fp374, fp386, fp375, fp123, fp122</t>
  </si>
  <si>
    <t xml:space="preserve">vintage razors</t>
  </si>
  <si>
    <t xml:space="preserve">fp368, fp356</t>
  </si>
  <si>
    <t xml:space="preserve">fp373</t>
  </si>
  <si>
    <t xml:space="preserve">miniature globe</t>
  </si>
  <si>
    <t xml:space="preserve">fp376, fp166, fp160</t>
  </si>
  <si>
    <t xml:space="preserve">fp379</t>
  </si>
  <si>
    <t xml:space="preserve">Jim Shore Wizard of Oz figurine</t>
  </si>
  <si>
    <t xml:space="preserve">fp380</t>
  </si>
  <si>
    <t xml:space="preserve">fp381</t>
  </si>
  <si>
    <t xml:space="preserve">vintage flower frog</t>
  </si>
  <si>
    <t xml:space="preserve">fp383</t>
  </si>
  <si>
    <t xml:space="preserve">fashion dolls</t>
  </si>
  <si>
    <t xml:space="preserve">fp388, fp385, fp312, fp309, fp280, fp264, fp112</t>
  </si>
  <si>
    <t xml:space="preserve">fp387, fp52</t>
  </si>
  <si>
    <t xml:space="preserve">fp391</t>
  </si>
  <si>
    <t xml:space="preserve">plastic farm animals</t>
  </si>
  <si>
    <t xml:space="preserve">fp392</t>
  </si>
  <si>
    <t xml:space="preserve">fp394</t>
  </si>
  <si>
    <t xml:space="preserve">fp397, fp327</t>
  </si>
  <si>
    <t xml:space="preserve">miniature slot machine</t>
  </si>
  <si>
    <t xml:space="preserve">fp393, fp104</t>
  </si>
  <si>
    <t xml:space="preserve">fp399</t>
  </si>
  <si>
    <t xml:space="preserve">cymbal monkey</t>
  </si>
  <si>
    <t xml:space="preserve">fp407, fp61, fp59</t>
  </si>
  <si>
    <t xml:space="preserve">Japanese tea pots</t>
  </si>
  <si>
    <t xml:space="preserve">fp405</t>
  </si>
  <si>
    <t xml:space="preserve">Ray-O-Vac flashlight battery trashcan</t>
  </si>
  <si>
    <t xml:space="preserve">fp412, fp398</t>
  </si>
  <si>
    <t xml:space="preserve">Buss fuses store display</t>
  </si>
  <si>
    <t xml:space="preserve">fp414, fp365</t>
  </si>
  <si>
    <t xml:space="preserve">fp415</t>
  </si>
  <si>
    <t xml:space="preserve">Harris the Lion bank</t>
  </si>
  <si>
    <t xml:space="preserve">fp417</t>
  </si>
  <si>
    <t xml:space="preserve">Asian vases</t>
  </si>
  <si>
    <t xml:space="preserve">fp421, fp420, fp419, fp418, fp236</t>
  </si>
  <si>
    <t xml:space="preserve">fp422</t>
  </si>
  <si>
    <t xml:space="preserve">polar bear tapestry</t>
  </si>
  <si>
    <t xml:space="preserve">fp416</t>
  </si>
  <si>
    <t xml:space="preserve">Danbury Mint Princess Diana doll &amp; outfits</t>
  </si>
  <si>
    <t xml:space="preserve">fp454</t>
  </si>
  <si>
    <t xml:space="preserve">fp451, fp258, fp257</t>
  </si>
  <si>
    <t xml:space="preserve">fp450, fp440, fp234</t>
  </si>
  <si>
    <t xml:space="preserve">children's super accordion</t>
  </si>
  <si>
    <t xml:space="preserve">fp446</t>
  </si>
  <si>
    <t xml:space="preserve">autographed Wilson footballs</t>
  </si>
  <si>
    <t xml:space="preserve">fp443</t>
  </si>
  <si>
    <t xml:space="preserve">fp440, fp450, fp436, fp314, fp234, fp114, fp108</t>
  </si>
  <si>
    <t xml:space="preserve">fp444</t>
  </si>
  <si>
    <t xml:space="preserve">blue glass Ball jars</t>
  </si>
  <si>
    <t xml:space="preserve">fp438</t>
  </si>
  <si>
    <t xml:space="preserve">postcards</t>
  </si>
  <si>
    <t xml:space="preserve">fp437</t>
  </si>
  <si>
    <t xml:space="preserve">fp436</t>
  </si>
  <si>
    <t xml:space="preserve">cloth American flag</t>
  </si>
  <si>
    <t xml:space="preserve">fp434</t>
  </si>
  <si>
    <t xml:space="preserve">fp428, fp137, fp101</t>
  </si>
  <si>
    <t xml:space="preserve">new Craftsman 105 piece socket ratchet set</t>
  </si>
  <si>
    <t xml:space="preserve">fp425</t>
  </si>
  <si>
    <t xml:space="preserve">fp326</t>
  </si>
  <si>
    <t xml:space="preserve">fp296</t>
  </si>
  <si>
    <t xml:space="preserve">fp300, fp299, fp297, fp116</t>
  </si>
  <si>
    <t xml:space="preserve">fp297, fp300, fp299</t>
  </si>
  <si>
    <t xml:space="preserve">miniature auto piano</t>
  </si>
  <si>
    <t xml:space="preserve">fp302</t>
  </si>
  <si>
    <t xml:space="preserve">fp301</t>
  </si>
  <si>
    <t xml:space="preserve">miniature birdcage</t>
  </si>
  <si>
    <t xml:space="preserve">fp303</t>
  </si>
  <si>
    <t xml:space="preserve">matched (bird cage)</t>
  </si>
  <si>
    <t xml:space="preserve">fp388, fp385, fp312, fp309, fp280, fp264</t>
  </si>
  <si>
    <t xml:space="preserve">fp308, fp342, fp341, fp340, fp339, fp338, fp337, fp149</t>
  </si>
  <si>
    <t xml:space="preserve">Christmas decor</t>
  </si>
  <si>
    <t xml:space="preserve">fp406, fp373, fp313, fp236</t>
  </si>
  <si>
    <t xml:space="preserve">fp310</t>
  </si>
  <si>
    <t xml:space="preserve">Russian nesting dolls</t>
  </si>
  <si>
    <t xml:space="preserve">fp312</t>
  </si>
  <si>
    <t xml:space="preserve">fp318</t>
  </si>
  <si>
    <t xml:space="preserve">fp321, fp36</t>
  </si>
  <si>
    <t xml:space="preserve">Matchbox and Hot Wheels cars</t>
  </si>
  <si>
    <t xml:space="preserve">fp324, fp364, fp108</t>
  </si>
  <si>
    <t xml:space="preserve">wood block plane</t>
  </si>
  <si>
    <t xml:space="preserve">fp325</t>
  </si>
  <si>
    <t xml:space="preserve">fp332</t>
  </si>
  <si>
    <t xml:space="preserve">Annalee plush doll</t>
  </si>
  <si>
    <t xml:space="preserve">fp331</t>
  </si>
  <si>
    <t xml:space="preserve">fp330, fp148, fp106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</si>
</sst>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F4F4F"/>
        <bgColor rgb="FF1F4E79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4E79"/>
        <bgColor rgb="FF2F4F4F"/>
      </patternFill>
    </fill>
    <fill>
      <patternFill patternType="solid">
        <fgColor rgb="FF7B3F00"/>
        <bgColor rgb="FF993366"/>
      </patternFill>
    </fill>
    <fill>
      <patternFill patternType="solid">
        <fgColor rgb="FFFFC7CE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2F4F4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7B3F00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3F00"/>
      <rgbColor rgb="FF993366"/>
      <rgbColor rgb="FF1F4E7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uctionzip.com/Full-Image/4136050/fp65.cgi" TargetMode="External"/><Relationship Id="rId2" Type="http://schemas.openxmlformats.org/officeDocument/2006/relationships/hyperlink" Target="https://www.auctionzip.com/Full-Image/4136050/fp1.cgi" TargetMode="External"/><Relationship Id="rId3" Type="http://schemas.openxmlformats.org/officeDocument/2006/relationships/hyperlink" Target="https://www.auctionzip.com/Full-Image/4136050/fp250.cgi" TargetMode="External"/><Relationship Id="rId4" Type="http://schemas.openxmlformats.org/officeDocument/2006/relationships/hyperlink" Target="https://www.auctionzip.com/Full-Image/4136050/fp251.cgi" TargetMode="External"/><Relationship Id="rId5" Type="http://schemas.openxmlformats.org/officeDocument/2006/relationships/hyperlink" Target="https://www.auctionzip.com/Full-Image/4136050/fp240.cgi" TargetMode="External"/><Relationship Id="rId6" Type="http://schemas.openxmlformats.org/officeDocument/2006/relationships/hyperlink" Target="https://www.auctionzip.com/Full-Image/4136050/fp254.cgi" TargetMode="External"/><Relationship Id="rId7" Type="http://schemas.openxmlformats.org/officeDocument/2006/relationships/hyperlink" Target="https://www.auctionzip.com/Full-Image/4136050/fp252.cgi" TargetMode="External"/><Relationship Id="rId8" Type="http://schemas.openxmlformats.org/officeDocument/2006/relationships/hyperlink" Target="https://www.auctionzip.com/Full-Image/4136050/fp253.cgi" TargetMode="External"/><Relationship Id="rId9" Type="http://schemas.openxmlformats.org/officeDocument/2006/relationships/hyperlink" Target="https://www.auctionzip.com/Full-Image/4136050/fp248.cgi" TargetMode="External"/><Relationship Id="rId10" Type="http://schemas.openxmlformats.org/officeDocument/2006/relationships/hyperlink" Target="https://www.auctionzip.com/Full-Image/4136050/fp249.cgi" TargetMode="External"/><Relationship Id="rId11" Type="http://schemas.openxmlformats.org/officeDocument/2006/relationships/hyperlink" Target="https://www.auctionzip.com/Full-Image/4136050/fp242.cgi" TargetMode="External"/><Relationship Id="rId12" Type="http://schemas.openxmlformats.org/officeDocument/2006/relationships/hyperlink" Target="https://www.auctionzip.com/Full-Image/4136050/fp245.cgi" TargetMode="External"/><Relationship Id="rId13" Type="http://schemas.openxmlformats.org/officeDocument/2006/relationships/hyperlink" Target="https://www.auctionzip.com/Full-Image/4136050/fp241.cgi" TargetMode="External"/><Relationship Id="rId14" Type="http://schemas.openxmlformats.org/officeDocument/2006/relationships/hyperlink" Target="https://www.auctionzip.com/Full-Image/4136050/fp243.cgi" TargetMode="External"/><Relationship Id="rId15" Type="http://schemas.openxmlformats.org/officeDocument/2006/relationships/hyperlink" Target="https://www.auctionzip.com/Full-Image/4136050/fp244.cgi" TargetMode="External"/><Relationship Id="rId16" Type="http://schemas.openxmlformats.org/officeDocument/2006/relationships/hyperlink" Target="https://www.auctionzip.com/Full-Image/4136050/fp246.cgi" TargetMode="External"/><Relationship Id="rId17" Type="http://schemas.openxmlformats.org/officeDocument/2006/relationships/hyperlink" Target="https://www.auctionzip.com/Full-Image/4136050/fp247.cgi" TargetMode="External"/><Relationship Id="rId18" Type="http://schemas.openxmlformats.org/officeDocument/2006/relationships/hyperlink" Target="https://www.auctionzip.com/Full-Image/4136050/fp239.cgi" TargetMode="External"/><Relationship Id="rId19" Type="http://schemas.openxmlformats.org/officeDocument/2006/relationships/hyperlink" Target="https://www.auctionzip.com/Full-Image/4136050/fp2.cgi" TargetMode="External"/><Relationship Id="rId20" Type="http://schemas.openxmlformats.org/officeDocument/2006/relationships/hyperlink" Target="https://www.auctionzip.com/Full-Image/4136050/fp157.cgi" TargetMode="External"/><Relationship Id="rId21" Type="http://schemas.openxmlformats.org/officeDocument/2006/relationships/hyperlink" Target="https://www.auctionzip.com/Full-Image/4136050/fp160.cgi" TargetMode="External"/><Relationship Id="rId22" Type="http://schemas.openxmlformats.org/officeDocument/2006/relationships/hyperlink" Target="https://www.auctionzip.com/Full-Image/4136050/fp166.cgi" TargetMode="External"/><Relationship Id="rId23" Type="http://schemas.openxmlformats.org/officeDocument/2006/relationships/hyperlink" Target="https://www.auctionzip.com/Full-Image/4136050/fp211.cgi" TargetMode="External"/><Relationship Id="rId24" Type="http://schemas.openxmlformats.org/officeDocument/2006/relationships/hyperlink" Target="https://www.auctionzip.com/Full-Image/4136050/fp205.cgi" TargetMode="External"/><Relationship Id="rId25" Type="http://schemas.openxmlformats.org/officeDocument/2006/relationships/hyperlink" Target="https://www.auctionzip.com/Full-Image/4136050/fp215.cgi" TargetMode="External"/><Relationship Id="rId26" Type="http://schemas.openxmlformats.org/officeDocument/2006/relationships/hyperlink" Target="https://www.auctionzip.com/Full-Image/4136050/fp89.cgi" TargetMode="External"/><Relationship Id="rId27" Type="http://schemas.openxmlformats.org/officeDocument/2006/relationships/hyperlink" Target="https://www.auctionzip.com/Full-Image/4136050/fp82.cgi" TargetMode="External"/><Relationship Id="rId28" Type="http://schemas.openxmlformats.org/officeDocument/2006/relationships/hyperlink" Target="https://www.auctionzip.com/Full-Image/4136050/fp85.cgi" TargetMode="External"/><Relationship Id="rId29" Type="http://schemas.openxmlformats.org/officeDocument/2006/relationships/hyperlink" Target="https://www.auctionzip.com/Full-Image/4136050/fp86.cgi" TargetMode="External"/><Relationship Id="rId30" Type="http://schemas.openxmlformats.org/officeDocument/2006/relationships/hyperlink" Target="https://www.auctionzip.com/Full-Image/4136050/fp192.cgi" TargetMode="External"/><Relationship Id="rId31" Type="http://schemas.openxmlformats.org/officeDocument/2006/relationships/hyperlink" Target="https://www.auctionzip.com/Full-Image/4136050/fp193.cgi" TargetMode="External"/><Relationship Id="rId32" Type="http://schemas.openxmlformats.org/officeDocument/2006/relationships/hyperlink" Target="https://www.auctionzip.com/Full-Image/4136050/fp199.cgi" TargetMode="External"/><Relationship Id="rId33" Type="http://schemas.openxmlformats.org/officeDocument/2006/relationships/hyperlink" Target="https://www.auctionzip.com/Full-Image/4136050/fp203.cgi" TargetMode="External"/><Relationship Id="rId34" Type="http://schemas.openxmlformats.org/officeDocument/2006/relationships/hyperlink" Target="https://www.auctionzip.com/Full-Image/4136050/fp158.cgi" TargetMode="External"/><Relationship Id="rId35" Type="http://schemas.openxmlformats.org/officeDocument/2006/relationships/hyperlink" Target="https://www.auctionzip.com/Full-Image/4136050/fp168.cgi" TargetMode="External"/><Relationship Id="rId36" Type="http://schemas.openxmlformats.org/officeDocument/2006/relationships/hyperlink" Target="https://www.auctionzip.com/Full-Image/4136050/fp227.cgi" TargetMode="External"/><Relationship Id="rId37" Type="http://schemas.openxmlformats.org/officeDocument/2006/relationships/hyperlink" Target="https://www.auctionzip.com/Full-Image/4136050/fp139.cgi" TargetMode="External"/><Relationship Id="rId38" Type="http://schemas.openxmlformats.org/officeDocument/2006/relationships/hyperlink" Target="https://www.auctionzip.com/Full-Image/4136050/fp84.cgi" TargetMode="External"/><Relationship Id="rId39" Type="http://schemas.openxmlformats.org/officeDocument/2006/relationships/hyperlink" Target="https://www.auctionzip.com/Full-Image/4136050/fp350.cgi" TargetMode="External"/><Relationship Id="rId40" Type="http://schemas.openxmlformats.org/officeDocument/2006/relationships/hyperlink" Target="https://www.auctionzip.com/Full-Image/4136050/fp352.cgi" TargetMode="External"/><Relationship Id="rId41" Type="http://schemas.openxmlformats.org/officeDocument/2006/relationships/hyperlink" Target="https://www.auctionzip.com/Full-Image/4136050/fp257.cgi" TargetMode="External"/><Relationship Id="rId42" Type="http://schemas.openxmlformats.org/officeDocument/2006/relationships/hyperlink" Target="https://www.auctionzip.com/Full-Image/4136050/fp4.cgi" TargetMode="External"/><Relationship Id="rId43" Type="http://schemas.openxmlformats.org/officeDocument/2006/relationships/hyperlink" Target="https://www.auctionzip.com/Full-Image/4136050/fp25.cgi" TargetMode="External"/><Relationship Id="rId44" Type="http://schemas.openxmlformats.org/officeDocument/2006/relationships/hyperlink" Target="https://www.auctionzip.com/Full-Image/4136050/fp24.cgi" TargetMode="External"/><Relationship Id="rId45" Type="http://schemas.openxmlformats.org/officeDocument/2006/relationships/hyperlink" Target="https://www.auctionzip.com/Full-Image/4136050/fp183.cgi" TargetMode="External"/><Relationship Id="rId46" Type="http://schemas.openxmlformats.org/officeDocument/2006/relationships/hyperlink" Target="https://www.auctionzip.com/Full-Image/4136050/fp184.cgi" TargetMode="External"/><Relationship Id="rId47" Type="http://schemas.openxmlformats.org/officeDocument/2006/relationships/hyperlink" Target="https://www.auctionzip.com/Full-Image/4136050/fp353.cgi" TargetMode="External"/><Relationship Id="rId48" Type="http://schemas.openxmlformats.org/officeDocument/2006/relationships/hyperlink" Target="https://www.auctionzip.com/Full-Image/4136050/fp40.cgi" TargetMode="External"/><Relationship Id="rId49" Type="http://schemas.openxmlformats.org/officeDocument/2006/relationships/hyperlink" Target="https://www.auctionzip.com/Full-Image/4136050/fp39.cgi" TargetMode="External"/><Relationship Id="rId50" Type="http://schemas.openxmlformats.org/officeDocument/2006/relationships/hyperlink" Target="https://www.auctionzip.com/Full-Image/4136050/fp57.cgi" TargetMode="External"/><Relationship Id="rId51" Type="http://schemas.openxmlformats.org/officeDocument/2006/relationships/hyperlink" Target="https://www.auctionzip.com/Full-Image/4136050/fp37.cgi" TargetMode="External"/><Relationship Id="rId52" Type="http://schemas.openxmlformats.org/officeDocument/2006/relationships/hyperlink" Target="https://www.auctionzip.com/Full-Image/4136050/fp76.cgi" TargetMode="External"/><Relationship Id="rId53" Type="http://schemas.openxmlformats.org/officeDocument/2006/relationships/hyperlink" Target="https://www.auctionzip.com/Full-Image/4136050/fp146.cgi" TargetMode="External"/><Relationship Id="rId54" Type="http://schemas.openxmlformats.org/officeDocument/2006/relationships/hyperlink" Target="https://www.auctionzip.com/Full-Image/4136050/fp53.cgi" TargetMode="External"/><Relationship Id="rId55" Type="http://schemas.openxmlformats.org/officeDocument/2006/relationships/hyperlink" Target="https://www.auctionzip.com/Full-Image/4136050/fp150.cgi" TargetMode="External"/><Relationship Id="rId56" Type="http://schemas.openxmlformats.org/officeDocument/2006/relationships/hyperlink" Target="https://www.auctionzip.com/Full-Image/4136050/fp50.cgi" TargetMode="External"/><Relationship Id="rId57" Type="http://schemas.openxmlformats.org/officeDocument/2006/relationships/hyperlink" Target="https://www.auctionzip.com/Full-Image/4136050/fp51.cgi" TargetMode="External"/><Relationship Id="rId58" Type="http://schemas.openxmlformats.org/officeDocument/2006/relationships/hyperlink" Target="https://www.auctionzip.com/Full-Image/4136050/fp14.cgi" TargetMode="External"/><Relationship Id="rId59" Type="http://schemas.openxmlformats.org/officeDocument/2006/relationships/hyperlink" Target="https://www.auctionzip.com/Full-Image/4136050/fp74.cgi" TargetMode="External"/><Relationship Id="rId60" Type="http://schemas.openxmlformats.org/officeDocument/2006/relationships/hyperlink" Target="https://www.auctionzip.com/Full-Image/4136050/fp151.cgi" TargetMode="External"/><Relationship Id="rId61" Type="http://schemas.openxmlformats.org/officeDocument/2006/relationships/hyperlink" Target="https://www.auctionzip.com/Full-Image/4136050/fp270.cgi" TargetMode="External"/><Relationship Id="rId62" Type="http://schemas.openxmlformats.org/officeDocument/2006/relationships/hyperlink" Target="https://www.auctionzip.com/Full-Image/4136050/fp280.cgi" TargetMode="External"/><Relationship Id="rId63" Type="http://schemas.openxmlformats.org/officeDocument/2006/relationships/hyperlink" Target="https://www.auctionzip.com/Full-Image/4136050/fp265.cgi" TargetMode="External"/><Relationship Id="rId64" Type="http://schemas.openxmlformats.org/officeDocument/2006/relationships/hyperlink" Target="https://www.auctionzip.com/Full-Image/4136050/fp266.cgi" TargetMode="External"/><Relationship Id="rId65" Type="http://schemas.openxmlformats.org/officeDocument/2006/relationships/hyperlink" Target="https://www.auctionzip.com/Full-Image/4136050/fp287.cgi" TargetMode="External"/><Relationship Id="rId66" Type="http://schemas.openxmlformats.org/officeDocument/2006/relationships/hyperlink" Target="https://www.auctionzip.com/Full-Image/4136050/fp263.cgi" TargetMode="External"/><Relationship Id="rId67" Type="http://schemas.openxmlformats.org/officeDocument/2006/relationships/hyperlink" Target="https://www.auctionzip.com/Full-Image/4136050/fp359.cgi" TargetMode="External"/><Relationship Id="rId68" Type="http://schemas.openxmlformats.org/officeDocument/2006/relationships/hyperlink" Target="https://www.auctionzip.com/Full-Image/4136050/fp358.cgi" TargetMode="External"/><Relationship Id="rId69" Type="http://schemas.openxmlformats.org/officeDocument/2006/relationships/hyperlink" Target="https://www.auctionzip.com/Full-Image/4136050/fp44.cgi" TargetMode="External"/><Relationship Id="rId70" Type="http://schemas.openxmlformats.org/officeDocument/2006/relationships/hyperlink" Target="https://www.auctionzip.com/Full-Image/4136050/fp16.cgi" TargetMode="External"/><Relationship Id="rId71" Type="http://schemas.openxmlformats.org/officeDocument/2006/relationships/hyperlink" Target="https://www.auctionzip.com/Full-Image/4136050/fp17.cgi" TargetMode="External"/><Relationship Id="rId72" Type="http://schemas.openxmlformats.org/officeDocument/2006/relationships/hyperlink" Target="https://www.auctionzip.com/Full-Image/4136050/fp3.cgi" TargetMode="External"/><Relationship Id="rId73" Type="http://schemas.openxmlformats.org/officeDocument/2006/relationships/hyperlink" Target="https://www.auctionzip.com/Full-Image/4136050/fp94.cgi" TargetMode="External"/><Relationship Id="rId74" Type="http://schemas.openxmlformats.org/officeDocument/2006/relationships/hyperlink" Target="https://www.auctionzip.com/Full-Image/4136050/fp97.cgi" TargetMode="External"/><Relationship Id="rId75" Type="http://schemas.openxmlformats.org/officeDocument/2006/relationships/hyperlink" Target="https://www.auctionzip.com/Full-Image/4136050/fp100.cgi" TargetMode="External"/><Relationship Id="rId76" Type="http://schemas.openxmlformats.org/officeDocument/2006/relationships/hyperlink" Target="https://www.auctionzip.com/Full-Image/4136050/fp109.cgi" TargetMode="External"/><Relationship Id="rId77" Type="http://schemas.openxmlformats.org/officeDocument/2006/relationships/hyperlink" Target="https://www.auctionzip.com/Full-Image/4136050/fp98.cgi" TargetMode="External"/><Relationship Id="rId78" Type="http://schemas.openxmlformats.org/officeDocument/2006/relationships/hyperlink" Target="https://www.auctionzip.com/Full-Image/4136050/fp99.cgi" TargetMode="External"/><Relationship Id="rId79" Type="http://schemas.openxmlformats.org/officeDocument/2006/relationships/hyperlink" Target="https://www.auctionzip.com/Full-Image/4136050/fp102.cgi" TargetMode="External"/><Relationship Id="rId80" Type="http://schemas.openxmlformats.org/officeDocument/2006/relationships/hyperlink" Target="https://www.auctionzip.com/Full-Image/4136050/fp101.cgi" TargetMode="External"/><Relationship Id="rId81" Type="http://schemas.openxmlformats.org/officeDocument/2006/relationships/hyperlink" Target="https://www.auctionzip.com/Full-Image/4136050/fp428.cgi" TargetMode="External"/><Relationship Id="rId82" Type="http://schemas.openxmlformats.org/officeDocument/2006/relationships/hyperlink" Target="https://www.auctionzip.com/Full-Image/4136050/fp429.cgi" TargetMode="External"/><Relationship Id="rId83" Type="http://schemas.openxmlformats.org/officeDocument/2006/relationships/hyperlink" Target="https://www.auctionzip.com/Full-Image/4136050/fp360.cgi" TargetMode="External"/><Relationship Id="rId84" Type="http://schemas.openxmlformats.org/officeDocument/2006/relationships/hyperlink" Target="https://www.auctionzip.com/Full-Image/4136050/fp52.cgi" TargetMode="External"/><Relationship Id="rId85" Type="http://schemas.openxmlformats.org/officeDocument/2006/relationships/hyperlink" Target="https://www.auctionzip.com/Full-Image/4136050/fp88.cgi" TargetMode="External"/><Relationship Id="rId86" Type="http://schemas.openxmlformats.org/officeDocument/2006/relationships/hyperlink" Target="https://www.auctionzip.com/Full-Image/4136050/fp20.cgi" TargetMode="External"/><Relationship Id="rId87" Type="http://schemas.openxmlformats.org/officeDocument/2006/relationships/hyperlink" Target="https://www.auctionzip.com/Full-Image/4136050/fp443.cgi" TargetMode="External"/><Relationship Id="rId88" Type="http://schemas.openxmlformats.org/officeDocument/2006/relationships/hyperlink" Target="https://www.auctionzip.com/Full-Image/4136050/fp449.cgi" TargetMode="External"/><Relationship Id="rId89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uctionzip.com/Full-Image/4136050/fp1.cgi" TargetMode="External"/><Relationship Id="rId2" Type="http://schemas.openxmlformats.org/officeDocument/2006/relationships/hyperlink" Target="https://www.auctionzip.com/Full-Image/4136050/fp2.cgi" TargetMode="External"/><Relationship Id="rId3" Type="http://schemas.openxmlformats.org/officeDocument/2006/relationships/hyperlink" Target="https://www.auctionzip.com/Full-Image/4136050/fp3.cgi" TargetMode="External"/><Relationship Id="rId4" Type="http://schemas.openxmlformats.org/officeDocument/2006/relationships/hyperlink" Target="https://www.auctionzip.com/Full-Image/4136050/fp4.cgi" TargetMode="External"/><Relationship Id="rId5" Type="http://schemas.openxmlformats.org/officeDocument/2006/relationships/hyperlink" Target="https://www.auctionzip.com/Full-Image/4136050/fp5.cgi" TargetMode="External"/><Relationship Id="rId6" Type="http://schemas.openxmlformats.org/officeDocument/2006/relationships/hyperlink" Target="https://www.auctionzip.com/Full-Image/4136050/fp6.cgi" TargetMode="External"/><Relationship Id="rId7" Type="http://schemas.openxmlformats.org/officeDocument/2006/relationships/hyperlink" Target="https://www.auctionzip.com/Full-Image/4136050/fp7.cgi" TargetMode="External"/><Relationship Id="rId8" Type="http://schemas.openxmlformats.org/officeDocument/2006/relationships/hyperlink" Target="https://www.auctionzip.com/Full-Image/4136050/fp8.cgi" TargetMode="External"/><Relationship Id="rId9" Type="http://schemas.openxmlformats.org/officeDocument/2006/relationships/hyperlink" Target="https://www.auctionzip.com/Full-Image/4136050/fp9.cgi" TargetMode="External"/><Relationship Id="rId10" Type="http://schemas.openxmlformats.org/officeDocument/2006/relationships/hyperlink" Target="https://www.auctionzip.com/Full-Image/4136050/fp10.cgi" TargetMode="External"/><Relationship Id="rId11" Type="http://schemas.openxmlformats.org/officeDocument/2006/relationships/hyperlink" Target="https://www.auctionzip.com/Full-Image/4136050/fp11.cgi" TargetMode="External"/><Relationship Id="rId12" Type="http://schemas.openxmlformats.org/officeDocument/2006/relationships/hyperlink" Target="https://www.auctionzip.com/Full-Image/4136050/fp12.cgi" TargetMode="External"/><Relationship Id="rId13" Type="http://schemas.openxmlformats.org/officeDocument/2006/relationships/hyperlink" Target="https://www.auctionzip.com/Full-Image/4136050/fp13.cgi" TargetMode="External"/><Relationship Id="rId14" Type="http://schemas.openxmlformats.org/officeDocument/2006/relationships/hyperlink" Target="https://www.auctionzip.com/Full-Image/4136050/fp14.cgi" TargetMode="External"/><Relationship Id="rId15" Type="http://schemas.openxmlformats.org/officeDocument/2006/relationships/hyperlink" Target="https://www.auctionzip.com/Full-Image/4136050/fp15.cgi" TargetMode="External"/><Relationship Id="rId16" Type="http://schemas.openxmlformats.org/officeDocument/2006/relationships/hyperlink" Target="https://www.auctionzip.com/Full-Image/4136050/fp16.cgi" TargetMode="External"/><Relationship Id="rId17" Type="http://schemas.openxmlformats.org/officeDocument/2006/relationships/hyperlink" Target="https://www.auctionzip.com/Full-Image/4136050/fp17.cgi" TargetMode="External"/><Relationship Id="rId18" Type="http://schemas.openxmlformats.org/officeDocument/2006/relationships/hyperlink" Target="https://www.auctionzip.com/Full-Image/4136050/fp18.cgi" TargetMode="External"/><Relationship Id="rId19" Type="http://schemas.openxmlformats.org/officeDocument/2006/relationships/hyperlink" Target="https://www.auctionzip.com/Full-Image/4136050/fp19.cgi" TargetMode="External"/><Relationship Id="rId20" Type="http://schemas.openxmlformats.org/officeDocument/2006/relationships/hyperlink" Target="https://www.auctionzip.com/Full-Image/4136050/fp20.cgi" TargetMode="External"/><Relationship Id="rId21" Type="http://schemas.openxmlformats.org/officeDocument/2006/relationships/hyperlink" Target="https://www.auctionzip.com/Full-Image/4136050/fp21.cgi" TargetMode="External"/><Relationship Id="rId22" Type="http://schemas.openxmlformats.org/officeDocument/2006/relationships/hyperlink" Target="https://www.auctionzip.com/Full-Image/4136050/fp22.cgi" TargetMode="External"/><Relationship Id="rId23" Type="http://schemas.openxmlformats.org/officeDocument/2006/relationships/hyperlink" Target="https://www.auctionzip.com/Full-Image/4136050/fp23.cgi" TargetMode="External"/><Relationship Id="rId24" Type="http://schemas.openxmlformats.org/officeDocument/2006/relationships/hyperlink" Target="https://www.auctionzip.com/Full-Image/4136050/fp24.cgi" TargetMode="External"/><Relationship Id="rId25" Type="http://schemas.openxmlformats.org/officeDocument/2006/relationships/hyperlink" Target="https://www.auctionzip.com/Full-Image/4136050/fp25.cgi" TargetMode="External"/><Relationship Id="rId26" Type="http://schemas.openxmlformats.org/officeDocument/2006/relationships/hyperlink" Target="https://www.auctionzip.com/Full-Image/4136050/fp26.cgi" TargetMode="External"/><Relationship Id="rId27" Type="http://schemas.openxmlformats.org/officeDocument/2006/relationships/hyperlink" Target="https://www.auctionzip.com/Full-Image/4136050/fp27.cgi" TargetMode="External"/><Relationship Id="rId28" Type="http://schemas.openxmlformats.org/officeDocument/2006/relationships/hyperlink" Target="https://www.auctionzip.com/Full-Image/4136050/fp28.cgi" TargetMode="External"/><Relationship Id="rId29" Type="http://schemas.openxmlformats.org/officeDocument/2006/relationships/hyperlink" Target="https://www.auctionzip.com/Full-Image/4136050/fp29.cgi" TargetMode="External"/><Relationship Id="rId30" Type="http://schemas.openxmlformats.org/officeDocument/2006/relationships/hyperlink" Target="https://www.auctionzip.com/Full-Image/4136050/fp30.cgi" TargetMode="External"/><Relationship Id="rId31" Type="http://schemas.openxmlformats.org/officeDocument/2006/relationships/hyperlink" Target="https://www.auctionzip.com/Full-Image/4136050/fp31.cgi" TargetMode="External"/><Relationship Id="rId32" Type="http://schemas.openxmlformats.org/officeDocument/2006/relationships/hyperlink" Target="https://www.auctionzip.com/Full-Image/4136050/fp32.cgi" TargetMode="External"/><Relationship Id="rId33" Type="http://schemas.openxmlformats.org/officeDocument/2006/relationships/hyperlink" Target="https://www.auctionzip.com/Full-Image/4136050/fp33.cgi" TargetMode="External"/><Relationship Id="rId34" Type="http://schemas.openxmlformats.org/officeDocument/2006/relationships/hyperlink" Target="https://www.auctionzip.com/Full-Image/4136050/fp34.cgi" TargetMode="External"/><Relationship Id="rId35" Type="http://schemas.openxmlformats.org/officeDocument/2006/relationships/hyperlink" Target="https://www.auctionzip.com/Full-Image/4136050/fp35.cgi" TargetMode="External"/><Relationship Id="rId36" Type="http://schemas.openxmlformats.org/officeDocument/2006/relationships/hyperlink" Target="https://www.auctionzip.com/Full-Image/4136050/fp36.cgi" TargetMode="External"/><Relationship Id="rId37" Type="http://schemas.openxmlformats.org/officeDocument/2006/relationships/hyperlink" Target="https://www.auctionzip.com/Full-Image/4136050/fp37.cgi" TargetMode="External"/><Relationship Id="rId38" Type="http://schemas.openxmlformats.org/officeDocument/2006/relationships/hyperlink" Target="https://www.auctionzip.com/Full-Image/4136050/fp38.cgi" TargetMode="External"/><Relationship Id="rId39" Type="http://schemas.openxmlformats.org/officeDocument/2006/relationships/hyperlink" Target="https://www.auctionzip.com/Full-Image/4136050/fp39.cgi" TargetMode="External"/><Relationship Id="rId40" Type="http://schemas.openxmlformats.org/officeDocument/2006/relationships/hyperlink" Target="https://www.auctionzip.com/Full-Image/4136050/fp40.cgi" TargetMode="External"/><Relationship Id="rId41" Type="http://schemas.openxmlformats.org/officeDocument/2006/relationships/hyperlink" Target="https://www.auctionzip.com/Full-Image/4136050/fp41.cgi" TargetMode="External"/><Relationship Id="rId42" Type="http://schemas.openxmlformats.org/officeDocument/2006/relationships/hyperlink" Target="https://www.auctionzip.com/Full-Image/4136050/fp42.cgi" TargetMode="External"/><Relationship Id="rId43" Type="http://schemas.openxmlformats.org/officeDocument/2006/relationships/hyperlink" Target="https://www.auctionzip.com/Full-Image/4136050/fp43.cgi" TargetMode="External"/><Relationship Id="rId44" Type="http://schemas.openxmlformats.org/officeDocument/2006/relationships/hyperlink" Target="https://www.auctionzip.com/Full-Image/4136050/fp44.cgi" TargetMode="External"/><Relationship Id="rId45" Type="http://schemas.openxmlformats.org/officeDocument/2006/relationships/hyperlink" Target="https://www.auctionzip.com/Full-Image/4136050/fp45.cgi" TargetMode="External"/><Relationship Id="rId46" Type="http://schemas.openxmlformats.org/officeDocument/2006/relationships/hyperlink" Target="https://www.auctionzip.com/Full-Image/4136050/fp46.cgi" TargetMode="External"/><Relationship Id="rId47" Type="http://schemas.openxmlformats.org/officeDocument/2006/relationships/hyperlink" Target="https://www.auctionzip.com/Full-Image/4136050/fp47.cgi" TargetMode="External"/><Relationship Id="rId48" Type="http://schemas.openxmlformats.org/officeDocument/2006/relationships/hyperlink" Target="https://www.auctionzip.com/Full-Image/4136050/fp48.cgi" TargetMode="External"/><Relationship Id="rId49" Type="http://schemas.openxmlformats.org/officeDocument/2006/relationships/hyperlink" Target="https://www.auctionzip.com/Full-Image/4136050/fp49.cgi" TargetMode="External"/><Relationship Id="rId50" Type="http://schemas.openxmlformats.org/officeDocument/2006/relationships/hyperlink" Target="https://www.auctionzip.com/Full-Image/4136050/fp50.cgi" TargetMode="External"/><Relationship Id="rId51" Type="http://schemas.openxmlformats.org/officeDocument/2006/relationships/hyperlink" Target="https://www.auctionzip.com/Full-Image/4136050/fp51.cgi" TargetMode="External"/><Relationship Id="rId52" Type="http://schemas.openxmlformats.org/officeDocument/2006/relationships/hyperlink" Target="https://www.auctionzip.com/Full-Image/4136050/fp52.cgi" TargetMode="External"/><Relationship Id="rId53" Type="http://schemas.openxmlformats.org/officeDocument/2006/relationships/hyperlink" Target="https://www.auctionzip.com/Full-Image/4136050/fp53.cgi" TargetMode="External"/><Relationship Id="rId54" Type="http://schemas.openxmlformats.org/officeDocument/2006/relationships/hyperlink" Target="https://www.auctionzip.com/Full-Image/4136050/fp54.cgi" TargetMode="External"/><Relationship Id="rId55" Type="http://schemas.openxmlformats.org/officeDocument/2006/relationships/hyperlink" Target="https://www.auctionzip.com/Full-Image/4136050/fp55.cgi" TargetMode="External"/><Relationship Id="rId56" Type="http://schemas.openxmlformats.org/officeDocument/2006/relationships/hyperlink" Target="https://www.auctionzip.com/Full-Image/4136050/fp56.cgi" TargetMode="External"/><Relationship Id="rId57" Type="http://schemas.openxmlformats.org/officeDocument/2006/relationships/hyperlink" Target="https://www.auctionzip.com/Full-Image/4136050/fp57.cgi" TargetMode="External"/><Relationship Id="rId58" Type="http://schemas.openxmlformats.org/officeDocument/2006/relationships/hyperlink" Target="https://www.auctionzip.com/Full-Image/4136050/fp58.cgi" TargetMode="External"/><Relationship Id="rId59" Type="http://schemas.openxmlformats.org/officeDocument/2006/relationships/hyperlink" Target="https://www.auctionzip.com/Full-Image/4136050/fp59.cgi" TargetMode="External"/><Relationship Id="rId60" Type="http://schemas.openxmlformats.org/officeDocument/2006/relationships/hyperlink" Target="https://www.auctionzip.com/Full-Image/4136050/fp61.cgi" TargetMode="External"/><Relationship Id="rId61" Type="http://schemas.openxmlformats.org/officeDocument/2006/relationships/hyperlink" Target="https://www.auctionzip.com/Full-Image/4136050/fp62.cgi" TargetMode="External"/><Relationship Id="rId62" Type="http://schemas.openxmlformats.org/officeDocument/2006/relationships/hyperlink" Target="https://www.auctionzip.com/Full-Image/4136050/fp63.cgi" TargetMode="External"/><Relationship Id="rId63" Type="http://schemas.openxmlformats.org/officeDocument/2006/relationships/hyperlink" Target="https://www.auctionzip.com/Full-Image/4136050/fp64.cgi" TargetMode="External"/><Relationship Id="rId64" Type="http://schemas.openxmlformats.org/officeDocument/2006/relationships/hyperlink" Target="https://www.auctionzip.com/Full-Image/4136050/fp65.cgi" TargetMode="External"/><Relationship Id="rId65" Type="http://schemas.openxmlformats.org/officeDocument/2006/relationships/hyperlink" Target="https://www.auctionzip.com/Full-Image/4136050/fp66.cgi" TargetMode="External"/><Relationship Id="rId66" Type="http://schemas.openxmlformats.org/officeDocument/2006/relationships/hyperlink" Target="https://www.auctionzip.com/Full-Image/4136050/fp67.cgi" TargetMode="External"/><Relationship Id="rId67" Type="http://schemas.openxmlformats.org/officeDocument/2006/relationships/hyperlink" Target="https://www.auctionzip.com/Full-Image/4136050/fp68.cgi" TargetMode="External"/><Relationship Id="rId68" Type="http://schemas.openxmlformats.org/officeDocument/2006/relationships/hyperlink" Target="https://www.auctionzip.com/Full-Image/4136050/fp69.cgi" TargetMode="External"/><Relationship Id="rId69" Type="http://schemas.openxmlformats.org/officeDocument/2006/relationships/hyperlink" Target="https://www.auctionzip.com/Full-Image/4136050/fp70.cgi" TargetMode="External"/><Relationship Id="rId70" Type="http://schemas.openxmlformats.org/officeDocument/2006/relationships/hyperlink" Target="https://www.auctionzip.com/Full-Image/4136050/fp71.cgi" TargetMode="External"/><Relationship Id="rId71" Type="http://schemas.openxmlformats.org/officeDocument/2006/relationships/hyperlink" Target="https://www.auctionzip.com/Full-Image/4136050/fp72.cgi" TargetMode="External"/><Relationship Id="rId72" Type="http://schemas.openxmlformats.org/officeDocument/2006/relationships/hyperlink" Target="https://www.auctionzip.com/Full-Image/4136050/fp73.cgi" TargetMode="External"/><Relationship Id="rId73" Type="http://schemas.openxmlformats.org/officeDocument/2006/relationships/hyperlink" Target="https://www.auctionzip.com/Full-Image/4136050/fp74.cgi" TargetMode="External"/><Relationship Id="rId74" Type="http://schemas.openxmlformats.org/officeDocument/2006/relationships/hyperlink" Target="https://www.auctionzip.com/Full-Image/4136050/fp75.cgi" TargetMode="External"/><Relationship Id="rId75" Type="http://schemas.openxmlformats.org/officeDocument/2006/relationships/hyperlink" Target="https://www.auctionzip.com/Full-Image/4136050/fp76.cgi" TargetMode="External"/><Relationship Id="rId76" Type="http://schemas.openxmlformats.org/officeDocument/2006/relationships/hyperlink" Target="https://www.auctionzip.com/Full-Image/4136050/fp77.cgi" TargetMode="External"/><Relationship Id="rId77" Type="http://schemas.openxmlformats.org/officeDocument/2006/relationships/hyperlink" Target="https://www.auctionzip.com/Full-Image/4136050/fp78.cgi" TargetMode="External"/><Relationship Id="rId78" Type="http://schemas.openxmlformats.org/officeDocument/2006/relationships/hyperlink" Target="https://www.auctionzip.com/Full-Image/4136050/fp79.cgi" TargetMode="External"/><Relationship Id="rId79" Type="http://schemas.openxmlformats.org/officeDocument/2006/relationships/hyperlink" Target="https://www.auctionzip.com/Full-Image/4136050/fp80.cgi" TargetMode="External"/><Relationship Id="rId80" Type="http://schemas.openxmlformats.org/officeDocument/2006/relationships/hyperlink" Target="https://www.auctionzip.com/Full-Image/4136050/fp81.cgi" TargetMode="External"/><Relationship Id="rId81" Type="http://schemas.openxmlformats.org/officeDocument/2006/relationships/hyperlink" Target="https://www.auctionzip.com/Full-Image/4136050/fp82.cgi" TargetMode="External"/><Relationship Id="rId82" Type="http://schemas.openxmlformats.org/officeDocument/2006/relationships/hyperlink" Target="https://www.auctionzip.com/Full-Image/4136050/fp83.cgi" TargetMode="External"/><Relationship Id="rId83" Type="http://schemas.openxmlformats.org/officeDocument/2006/relationships/hyperlink" Target="https://www.auctionzip.com/Full-Image/4136050/fp84.cgi" TargetMode="External"/><Relationship Id="rId84" Type="http://schemas.openxmlformats.org/officeDocument/2006/relationships/hyperlink" Target="https://www.auctionzip.com/Full-Image/4136050/fp85.cgi" TargetMode="External"/><Relationship Id="rId85" Type="http://schemas.openxmlformats.org/officeDocument/2006/relationships/hyperlink" Target="https://www.auctionzip.com/Full-Image/4136050/fp86.cgi" TargetMode="External"/><Relationship Id="rId86" Type="http://schemas.openxmlformats.org/officeDocument/2006/relationships/hyperlink" Target="https://www.auctionzip.com/Full-Image/4136050/fp87.cgi" TargetMode="External"/><Relationship Id="rId87" Type="http://schemas.openxmlformats.org/officeDocument/2006/relationships/hyperlink" Target="https://www.auctionzip.com/Full-Image/4136050/fp88.cgi" TargetMode="External"/><Relationship Id="rId88" Type="http://schemas.openxmlformats.org/officeDocument/2006/relationships/hyperlink" Target="https://www.auctionzip.com/Full-Image/4136050/fp89.cgi" TargetMode="External"/><Relationship Id="rId89" Type="http://schemas.openxmlformats.org/officeDocument/2006/relationships/hyperlink" Target="https://www.auctionzip.com/Full-Image/4136050/fp90.cgi" TargetMode="External"/><Relationship Id="rId90" Type="http://schemas.openxmlformats.org/officeDocument/2006/relationships/hyperlink" Target="https://www.auctionzip.com/Full-Image/4136050/fp91.cgi" TargetMode="External"/><Relationship Id="rId91" Type="http://schemas.openxmlformats.org/officeDocument/2006/relationships/hyperlink" Target="https://www.auctionzip.com/Full-Image/4136050/fp92.cgi" TargetMode="External"/><Relationship Id="rId92" Type="http://schemas.openxmlformats.org/officeDocument/2006/relationships/hyperlink" Target="https://www.auctionzip.com/Full-Image/4136050/fp94.cgi" TargetMode="External"/><Relationship Id="rId93" Type="http://schemas.openxmlformats.org/officeDocument/2006/relationships/hyperlink" Target="https://www.auctionzip.com/Full-Image/4136050/fp95.cgi" TargetMode="External"/><Relationship Id="rId94" Type="http://schemas.openxmlformats.org/officeDocument/2006/relationships/hyperlink" Target="https://www.auctionzip.com/Full-Image/4136050/fp96.cgi" TargetMode="External"/><Relationship Id="rId95" Type="http://schemas.openxmlformats.org/officeDocument/2006/relationships/hyperlink" Target="https://www.auctionzip.com/Full-Image/4136050/fp97.cgi" TargetMode="External"/><Relationship Id="rId96" Type="http://schemas.openxmlformats.org/officeDocument/2006/relationships/hyperlink" Target="https://www.auctionzip.com/Full-Image/4136050/fp98.cgi" TargetMode="External"/><Relationship Id="rId97" Type="http://schemas.openxmlformats.org/officeDocument/2006/relationships/hyperlink" Target="https://www.auctionzip.com/Full-Image/4136050/fp99.cgi" TargetMode="External"/><Relationship Id="rId98" Type="http://schemas.openxmlformats.org/officeDocument/2006/relationships/hyperlink" Target="https://www.auctionzip.com/Full-Image/4136050/fp100.cgi" TargetMode="External"/><Relationship Id="rId99" Type="http://schemas.openxmlformats.org/officeDocument/2006/relationships/hyperlink" Target="https://www.auctionzip.com/Full-Image/4136050/fp101.cgi" TargetMode="External"/><Relationship Id="rId100" Type="http://schemas.openxmlformats.org/officeDocument/2006/relationships/hyperlink" Target="https://www.auctionzip.com/Full-Image/4136050/fp102.cgi" TargetMode="External"/><Relationship Id="rId101" Type="http://schemas.openxmlformats.org/officeDocument/2006/relationships/hyperlink" Target="https://www.auctionzip.com/Full-Image/4136050/fp103.cgi" TargetMode="External"/><Relationship Id="rId102" Type="http://schemas.openxmlformats.org/officeDocument/2006/relationships/hyperlink" Target="https://www.auctionzip.com/Full-Image/4136050/fp104.cgi" TargetMode="External"/><Relationship Id="rId103" Type="http://schemas.openxmlformats.org/officeDocument/2006/relationships/hyperlink" Target="https://www.auctionzip.com/Full-Image/4136050/fp105.cgi" TargetMode="External"/><Relationship Id="rId104" Type="http://schemas.openxmlformats.org/officeDocument/2006/relationships/hyperlink" Target="https://www.auctionzip.com/Full-Image/4136050/fp106.cgi" TargetMode="External"/><Relationship Id="rId105" Type="http://schemas.openxmlformats.org/officeDocument/2006/relationships/hyperlink" Target="https://www.auctionzip.com/Full-Image/4136050/fp107.cgi" TargetMode="External"/><Relationship Id="rId106" Type="http://schemas.openxmlformats.org/officeDocument/2006/relationships/hyperlink" Target="https://www.auctionzip.com/Full-Image/4136050/fp108.cgi" TargetMode="External"/><Relationship Id="rId107" Type="http://schemas.openxmlformats.org/officeDocument/2006/relationships/hyperlink" Target="https://www.auctionzip.com/Full-Image/4136050/fp109.cgi" TargetMode="External"/><Relationship Id="rId108" Type="http://schemas.openxmlformats.org/officeDocument/2006/relationships/hyperlink" Target="https://www.auctionzip.com/Full-Image/4136050/fp110.cgi" TargetMode="External"/><Relationship Id="rId109" Type="http://schemas.openxmlformats.org/officeDocument/2006/relationships/hyperlink" Target="https://www.auctionzip.com/Full-Image/4136050/fp111.cgi" TargetMode="External"/><Relationship Id="rId110" Type="http://schemas.openxmlformats.org/officeDocument/2006/relationships/hyperlink" Target="https://www.auctionzip.com/Full-Image/4136050/fp112.cgi" TargetMode="External"/><Relationship Id="rId111" Type="http://schemas.openxmlformats.org/officeDocument/2006/relationships/hyperlink" Target="https://www.auctionzip.com/Full-Image/4136050/fp113.cgi" TargetMode="External"/><Relationship Id="rId112" Type="http://schemas.openxmlformats.org/officeDocument/2006/relationships/hyperlink" Target="https://www.auctionzip.com/Full-Image/4136050/fp114.cgi" TargetMode="External"/><Relationship Id="rId113" Type="http://schemas.openxmlformats.org/officeDocument/2006/relationships/hyperlink" Target="https://www.auctionzip.com/Full-Image/4136050/fp115.cgi" TargetMode="External"/><Relationship Id="rId114" Type="http://schemas.openxmlformats.org/officeDocument/2006/relationships/hyperlink" Target="https://www.auctionzip.com/Full-Image/4136050/fp116.cgi" TargetMode="External"/><Relationship Id="rId115" Type="http://schemas.openxmlformats.org/officeDocument/2006/relationships/hyperlink" Target="https://www.auctionzip.com/Full-Image/4136050/fp117.cgi" TargetMode="External"/><Relationship Id="rId116" Type="http://schemas.openxmlformats.org/officeDocument/2006/relationships/hyperlink" Target="https://www.auctionzip.com/Full-Image/4136050/fp118.cgi" TargetMode="External"/><Relationship Id="rId117" Type="http://schemas.openxmlformats.org/officeDocument/2006/relationships/hyperlink" Target="https://www.auctionzip.com/Full-Image/4136050/fp119.cgi" TargetMode="External"/><Relationship Id="rId118" Type="http://schemas.openxmlformats.org/officeDocument/2006/relationships/hyperlink" Target="https://www.auctionzip.com/Full-Image/4136050/fp120.cgi" TargetMode="External"/><Relationship Id="rId119" Type="http://schemas.openxmlformats.org/officeDocument/2006/relationships/hyperlink" Target="https://www.auctionzip.com/Full-Image/4136050/fp121.cgi" TargetMode="External"/><Relationship Id="rId120" Type="http://schemas.openxmlformats.org/officeDocument/2006/relationships/hyperlink" Target="https://www.auctionzip.com/Full-Image/4136050/fp122.cgi" TargetMode="External"/><Relationship Id="rId121" Type="http://schemas.openxmlformats.org/officeDocument/2006/relationships/hyperlink" Target="https://www.auctionzip.com/Full-Image/4136050/fp123.cgi" TargetMode="External"/><Relationship Id="rId122" Type="http://schemas.openxmlformats.org/officeDocument/2006/relationships/hyperlink" Target="https://www.auctionzip.com/Full-Image/4136050/fp124.cgi" TargetMode="External"/><Relationship Id="rId123" Type="http://schemas.openxmlformats.org/officeDocument/2006/relationships/hyperlink" Target="https://www.auctionzip.com/Full-Image/4136050/fp125.cgi" TargetMode="External"/><Relationship Id="rId124" Type="http://schemas.openxmlformats.org/officeDocument/2006/relationships/hyperlink" Target="https://www.auctionzip.com/Full-Image/4136050/fp126.cgi" TargetMode="External"/><Relationship Id="rId125" Type="http://schemas.openxmlformats.org/officeDocument/2006/relationships/hyperlink" Target="https://www.auctionzip.com/Full-Image/4136050/fp127.cgi" TargetMode="External"/><Relationship Id="rId126" Type="http://schemas.openxmlformats.org/officeDocument/2006/relationships/hyperlink" Target="https://www.auctionzip.com/Full-Image/4136050/fp128.cgi" TargetMode="External"/><Relationship Id="rId127" Type="http://schemas.openxmlformats.org/officeDocument/2006/relationships/hyperlink" Target="https://www.auctionzip.com/Full-Image/4136050/fp129.cgi" TargetMode="External"/><Relationship Id="rId128" Type="http://schemas.openxmlformats.org/officeDocument/2006/relationships/hyperlink" Target="https://www.auctionzip.com/Full-Image/4136050/fp130.cgi" TargetMode="External"/><Relationship Id="rId129" Type="http://schemas.openxmlformats.org/officeDocument/2006/relationships/hyperlink" Target="https://www.auctionzip.com/Full-Image/4136050/fp131.cgi" TargetMode="External"/><Relationship Id="rId130" Type="http://schemas.openxmlformats.org/officeDocument/2006/relationships/hyperlink" Target="https://www.auctionzip.com/Full-Image/4136050/fp132.cgi" TargetMode="External"/><Relationship Id="rId131" Type="http://schemas.openxmlformats.org/officeDocument/2006/relationships/hyperlink" Target="https://www.auctionzip.com/Full-Image/4136050/fp133.cgi" TargetMode="External"/><Relationship Id="rId132" Type="http://schemas.openxmlformats.org/officeDocument/2006/relationships/hyperlink" Target="https://www.auctionzip.com/Full-Image/4136050/fp134.cgi" TargetMode="External"/><Relationship Id="rId133" Type="http://schemas.openxmlformats.org/officeDocument/2006/relationships/hyperlink" Target="https://www.auctionzip.com/Full-Image/4136050/fp135.cgi" TargetMode="External"/><Relationship Id="rId134" Type="http://schemas.openxmlformats.org/officeDocument/2006/relationships/hyperlink" Target="https://www.auctionzip.com/Full-Image/4136050/fp136.cgi" TargetMode="External"/><Relationship Id="rId135" Type="http://schemas.openxmlformats.org/officeDocument/2006/relationships/hyperlink" Target="https://www.auctionzip.com/Full-Image/4136050/fp137.cgi" TargetMode="External"/><Relationship Id="rId136" Type="http://schemas.openxmlformats.org/officeDocument/2006/relationships/hyperlink" Target="https://www.auctionzip.com/Full-Image/4136050/fp138.cgi" TargetMode="External"/><Relationship Id="rId137" Type="http://schemas.openxmlformats.org/officeDocument/2006/relationships/hyperlink" Target="https://www.auctionzip.com/Full-Image/4136050/fp139.cgi" TargetMode="External"/><Relationship Id="rId138" Type="http://schemas.openxmlformats.org/officeDocument/2006/relationships/hyperlink" Target="https://www.auctionzip.com/Full-Image/4136050/fp140.cgi" TargetMode="External"/><Relationship Id="rId139" Type="http://schemas.openxmlformats.org/officeDocument/2006/relationships/hyperlink" Target="https://www.auctionzip.com/Full-Image/4136050/fp141.cgi" TargetMode="External"/><Relationship Id="rId140" Type="http://schemas.openxmlformats.org/officeDocument/2006/relationships/hyperlink" Target="https://www.auctionzip.com/Full-Image/4136050/fp142.cgi" TargetMode="External"/><Relationship Id="rId141" Type="http://schemas.openxmlformats.org/officeDocument/2006/relationships/hyperlink" Target="https://www.auctionzip.com/Full-Image/4136050/fp143.cgi" TargetMode="External"/><Relationship Id="rId142" Type="http://schemas.openxmlformats.org/officeDocument/2006/relationships/hyperlink" Target="https://www.auctionzip.com/Full-Image/4136050/fp144.cgi" TargetMode="External"/><Relationship Id="rId143" Type="http://schemas.openxmlformats.org/officeDocument/2006/relationships/hyperlink" Target="https://www.auctionzip.com/Full-Image/4136050/fp145.cgi" TargetMode="External"/><Relationship Id="rId144" Type="http://schemas.openxmlformats.org/officeDocument/2006/relationships/hyperlink" Target="https://www.auctionzip.com/Full-Image/4136050/fp146.cgi" TargetMode="External"/><Relationship Id="rId145" Type="http://schemas.openxmlformats.org/officeDocument/2006/relationships/hyperlink" Target="https://www.auctionzip.com/Full-Image/4136050/fp147.cgi" TargetMode="External"/><Relationship Id="rId146" Type="http://schemas.openxmlformats.org/officeDocument/2006/relationships/hyperlink" Target="https://www.auctionzip.com/Full-Image/4136050/fp148.cgi" TargetMode="External"/><Relationship Id="rId147" Type="http://schemas.openxmlformats.org/officeDocument/2006/relationships/hyperlink" Target="https://www.auctionzip.com/Full-Image/4136050/fp149.cgi" TargetMode="External"/><Relationship Id="rId148" Type="http://schemas.openxmlformats.org/officeDocument/2006/relationships/hyperlink" Target="https://www.auctionzip.com/Full-Image/4136050/fp150.cgi" TargetMode="External"/><Relationship Id="rId149" Type="http://schemas.openxmlformats.org/officeDocument/2006/relationships/hyperlink" Target="https://www.auctionzip.com/Full-Image/4136050/fp151.cgi" TargetMode="External"/><Relationship Id="rId150" Type="http://schemas.openxmlformats.org/officeDocument/2006/relationships/hyperlink" Target="https://www.auctionzip.com/Full-Image/4136050/fp152.cgi" TargetMode="External"/><Relationship Id="rId151" Type="http://schemas.openxmlformats.org/officeDocument/2006/relationships/hyperlink" Target="https://www.auctionzip.com/Full-Image/4136050/fp153.cgi" TargetMode="External"/><Relationship Id="rId152" Type="http://schemas.openxmlformats.org/officeDocument/2006/relationships/hyperlink" Target="https://www.auctionzip.com/Full-Image/4136050/fp154.cgi" TargetMode="External"/><Relationship Id="rId153" Type="http://schemas.openxmlformats.org/officeDocument/2006/relationships/hyperlink" Target="https://www.auctionzip.com/Full-Image/4136050/fp155.cgi" TargetMode="External"/><Relationship Id="rId154" Type="http://schemas.openxmlformats.org/officeDocument/2006/relationships/hyperlink" Target="https://www.auctionzip.com/Full-Image/4136050/fp156.cgi" TargetMode="External"/><Relationship Id="rId155" Type="http://schemas.openxmlformats.org/officeDocument/2006/relationships/hyperlink" Target="https://www.auctionzip.com/Full-Image/4136050/fp157.cgi" TargetMode="External"/><Relationship Id="rId156" Type="http://schemas.openxmlformats.org/officeDocument/2006/relationships/hyperlink" Target="https://www.auctionzip.com/Full-Image/4136050/fp158.cgi" TargetMode="External"/><Relationship Id="rId157" Type="http://schemas.openxmlformats.org/officeDocument/2006/relationships/hyperlink" Target="https://www.auctionzip.com/Full-Image/4136050/fp159.cgi" TargetMode="External"/><Relationship Id="rId158" Type="http://schemas.openxmlformats.org/officeDocument/2006/relationships/hyperlink" Target="https://www.auctionzip.com/Full-Image/4136050/fp160.cgi" TargetMode="External"/><Relationship Id="rId159" Type="http://schemas.openxmlformats.org/officeDocument/2006/relationships/hyperlink" Target="https://www.auctionzip.com/Full-Image/4136050/fp161.cgi" TargetMode="External"/><Relationship Id="rId160" Type="http://schemas.openxmlformats.org/officeDocument/2006/relationships/hyperlink" Target="https://www.auctionzip.com/Full-Image/4136050/fp162.cgi" TargetMode="External"/><Relationship Id="rId161" Type="http://schemas.openxmlformats.org/officeDocument/2006/relationships/hyperlink" Target="https://www.auctionzip.com/Full-Image/4136050/fp163.cgi" TargetMode="External"/><Relationship Id="rId162" Type="http://schemas.openxmlformats.org/officeDocument/2006/relationships/hyperlink" Target="https://www.auctionzip.com/Full-Image/4136050/fp164.cgi" TargetMode="External"/><Relationship Id="rId163" Type="http://schemas.openxmlformats.org/officeDocument/2006/relationships/hyperlink" Target="https://www.auctionzip.com/Full-Image/4136050/fp165.cgi" TargetMode="External"/><Relationship Id="rId164" Type="http://schemas.openxmlformats.org/officeDocument/2006/relationships/hyperlink" Target="https://www.auctionzip.com/Full-Image/4136050/fp166.cgi" TargetMode="External"/><Relationship Id="rId165" Type="http://schemas.openxmlformats.org/officeDocument/2006/relationships/hyperlink" Target="https://www.auctionzip.com/Full-Image/4136050/fp167.cgi" TargetMode="External"/><Relationship Id="rId166" Type="http://schemas.openxmlformats.org/officeDocument/2006/relationships/hyperlink" Target="https://www.auctionzip.com/Full-Image/4136050/fp168.cgi" TargetMode="External"/><Relationship Id="rId167" Type="http://schemas.openxmlformats.org/officeDocument/2006/relationships/hyperlink" Target="https://www.auctionzip.com/Full-Image/4136050/fp169.cgi" TargetMode="External"/><Relationship Id="rId168" Type="http://schemas.openxmlformats.org/officeDocument/2006/relationships/hyperlink" Target="https://www.auctionzip.com/Full-Image/4136050/fp170.cgi" TargetMode="External"/><Relationship Id="rId169" Type="http://schemas.openxmlformats.org/officeDocument/2006/relationships/hyperlink" Target="https://www.auctionzip.com/Full-Image/4136050/fp171.cgi" TargetMode="External"/><Relationship Id="rId170" Type="http://schemas.openxmlformats.org/officeDocument/2006/relationships/hyperlink" Target="https://www.auctionzip.com/Full-Image/4136050/fp172.cgi" TargetMode="External"/><Relationship Id="rId171" Type="http://schemas.openxmlformats.org/officeDocument/2006/relationships/hyperlink" Target="https://www.auctionzip.com/Full-Image/4136050/fp173.cgi" TargetMode="External"/><Relationship Id="rId172" Type="http://schemas.openxmlformats.org/officeDocument/2006/relationships/hyperlink" Target="https://www.auctionzip.com/Full-Image/4136050/fp174.cgi" TargetMode="External"/><Relationship Id="rId173" Type="http://schemas.openxmlformats.org/officeDocument/2006/relationships/hyperlink" Target="https://www.auctionzip.com/Full-Image/4136050/fp175.cgi" TargetMode="External"/><Relationship Id="rId174" Type="http://schemas.openxmlformats.org/officeDocument/2006/relationships/hyperlink" Target="https://www.auctionzip.com/Full-Image/4136050/fp176.cgi" TargetMode="External"/><Relationship Id="rId175" Type="http://schemas.openxmlformats.org/officeDocument/2006/relationships/hyperlink" Target="https://www.auctionzip.com/Full-Image/4136050/fp177.cgi" TargetMode="External"/><Relationship Id="rId176" Type="http://schemas.openxmlformats.org/officeDocument/2006/relationships/hyperlink" Target="https://www.auctionzip.com/Full-Image/4136050/fp178.cgi" TargetMode="External"/><Relationship Id="rId177" Type="http://schemas.openxmlformats.org/officeDocument/2006/relationships/hyperlink" Target="https://www.auctionzip.com/Full-Image/4136050/fp179.cgi" TargetMode="External"/><Relationship Id="rId178" Type="http://schemas.openxmlformats.org/officeDocument/2006/relationships/hyperlink" Target="https://www.auctionzip.com/Full-Image/4136050/fp180.cgi" TargetMode="External"/><Relationship Id="rId179" Type="http://schemas.openxmlformats.org/officeDocument/2006/relationships/hyperlink" Target="https://www.auctionzip.com/Full-Image/4136050/fp181.cgi" TargetMode="External"/><Relationship Id="rId180" Type="http://schemas.openxmlformats.org/officeDocument/2006/relationships/hyperlink" Target="https://www.auctionzip.com/Full-Image/4136050/fp182.cgi" TargetMode="External"/><Relationship Id="rId181" Type="http://schemas.openxmlformats.org/officeDocument/2006/relationships/hyperlink" Target="https://www.auctionzip.com/Full-Image/4136050/fp183.cgi" TargetMode="External"/><Relationship Id="rId182" Type="http://schemas.openxmlformats.org/officeDocument/2006/relationships/hyperlink" Target="https://www.auctionzip.com/Full-Image/4136050/fp184.cgi" TargetMode="External"/><Relationship Id="rId183" Type="http://schemas.openxmlformats.org/officeDocument/2006/relationships/hyperlink" Target="https://www.auctionzip.com/Full-Image/4136050/fp185.cgi" TargetMode="External"/><Relationship Id="rId184" Type="http://schemas.openxmlformats.org/officeDocument/2006/relationships/hyperlink" Target="https://www.auctionzip.com/Full-Image/4136050/fp186.cgi" TargetMode="External"/><Relationship Id="rId185" Type="http://schemas.openxmlformats.org/officeDocument/2006/relationships/hyperlink" Target="https://www.auctionzip.com/Full-Image/4136050/fp187.cgi" TargetMode="External"/><Relationship Id="rId186" Type="http://schemas.openxmlformats.org/officeDocument/2006/relationships/hyperlink" Target="https://www.auctionzip.com/Full-Image/4136050/fp188.cgi" TargetMode="External"/><Relationship Id="rId187" Type="http://schemas.openxmlformats.org/officeDocument/2006/relationships/hyperlink" Target="https://www.auctionzip.com/Full-Image/4136050/fp189.cgi" TargetMode="External"/><Relationship Id="rId188" Type="http://schemas.openxmlformats.org/officeDocument/2006/relationships/hyperlink" Target="https://www.auctionzip.com/Full-Image/4136050/fp190.cgi" TargetMode="External"/><Relationship Id="rId189" Type="http://schemas.openxmlformats.org/officeDocument/2006/relationships/hyperlink" Target="https://www.auctionzip.com/Full-Image/4136050/fp191.cgi" TargetMode="External"/><Relationship Id="rId190" Type="http://schemas.openxmlformats.org/officeDocument/2006/relationships/hyperlink" Target="https://www.auctionzip.com/Full-Image/4136050/fp192.cgi" TargetMode="External"/><Relationship Id="rId191" Type="http://schemas.openxmlformats.org/officeDocument/2006/relationships/hyperlink" Target="https://www.auctionzip.com/Full-Image/4136050/fp193.cgi" TargetMode="External"/><Relationship Id="rId192" Type="http://schemas.openxmlformats.org/officeDocument/2006/relationships/hyperlink" Target="https://www.auctionzip.com/Full-Image/4136050/fp194.cgi" TargetMode="External"/><Relationship Id="rId193" Type="http://schemas.openxmlformats.org/officeDocument/2006/relationships/hyperlink" Target="https://www.auctionzip.com/Full-Image/4136050/fp195.cgi" TargetMode="External"/><Relationship Id="rId194" Type="http://schemas.openxmlformats.org/officeDocument/2006/relationships/hyperlink" Target="https://www.auctionzip.com/Full-Image/4136050/fp196.cgi" TargetMode="External"/><Relationship Id="rId195" Type="http://schemas.openxmlformats.org/officeDocument/2006/relationships/hyperlink" Target="https://www.auctionzip.com/Full-Image/4136050/fp197.cgi" TargetMode="External"/><Relationship Id="rId196" Type="http://schemas.openxmlformats.org/officeDocument/2006/relationships/hyperlink" Target="https://www.auctionzip.com/Full-Image/4136050/fp198.cgi" TargetMode="External"/><Relationship Id="rId197" Type="http://schemas.openxmlformats.org/officeDocument/2006/relationships/hyperlink" Target="https://www.auctionzip.com/Full-Image/4136050/fp199.cgi" TargetMode="External"/><Relationship Id="rId198" Type="http://schemas.openxmlformats.org/officeDocument/2006/relationships/hyperlink" Target="https://www.auctionzip.com/Full-Image/4136050/fp200.cgi" TargetMode="External"/><Relationship Id="rId199" Type="http://schemas.openxmlformats.org/officeDocument/2006/relationships/hyperlink" Target="https://www.auctionzip.com/Full-Image/4136050/fp201.cgi" TargetMode="External"/><Relationship Id="rId200" Type="http://schemas.openxmlformats.org/officeDocument/2006/relationships/hyperlink" Target="https://www.auctionzip.com/Full-Image/4136050/fp202.cgi" TargetMode="External"/><Relationship Id="rId201" Type="http://schemas.openxmlformats.org/officeDocument/2006/relationships/hyperlink" Target="https://www.auctionzip.com/Full-Image/4136050/fp203.cgi" TargetMode="External"/><Relationship Id="rId202" Type="http://schemas.openxmlformats.org/officeDocument/2006/relationships/hyperlink" Target="https://www.auctionzip.com/Full-Image/4136050/fp204.cgi" TargetMode="External"/><Relationship Id="rId203" Type="http://schemas.openxmlformats.org/officeDocument/2006/relationships/hyperlink" Target="https://www.auctionzip.com/Full-Image/4136050/fp205.cgi" TargetMode="External"/><Relationship Id="rId204" Type="http://schemas.openxmlformats.org/officeDocument/2006/relationships/hyperlink" Target="https://www.auctionzip.com/Full-Image/4136050/fp206.cgi" TargetMode="External"/><Relationship Id="rId205" Type="http://schemas.openxmlformats.org/officeDocument/2006/relationships/hyperlink" Target="https://www.auctionzip.com/Full-Image/4136050/fp207.cgi" TargetMode="External"/><Relationship Id="rId206" Type="http://schemas.openxmlformats.org/officeDocument/2006/relationships/hyperlink" Target="https://www.auctionzip.com/Full-Image/4136050/fp208.cgi" TargetMode="External"/><Relationship Id="rId207" Type="http://schemas.openxmlformats.org/officeDocument/2006/relationships/hyperlink" Target="https://www.auctionzip.com/Full-Image/4136050/fp209.cgi" TargetMode="External"/><Relationship Id="rId208" Type="http://schemas.openxmlformats.org/officeDocument/2006/relationships/hyperlink" Target="https://www.auctionzip.com/Full-Image/4136050/fp210.cgi" TargetMode="External"/><Relationship Id="rId209" Type="http://schemas.openxmlformats.org/officeDocument/2006/relationships/hyperlink" Target="https://www.auctionzip.com/Full-Image/4136050/fp211.cgi" TargetMode="External"/><Relationship Id="rId210" Type="http://schemas.openxmlformats.org/officeDocument/2006/relationships/hyperlink" Target="https://www.auctionzip.com/Full-Image/4136050/fp212.cgi" TargetMode="External"/><Relationship Id="rId211" Type="http://schemas.openxmlformats.org/officeDocument/2006/relationships/hyperlink" Target="https://www.auctionzip.com/Full-Image/4136050/fp213.cgi" TargetMode="External"/><Relationship Id="rId212" Type="http://schemas.openxmlformats.org/officeDocument/2006/relationships/hyperlink" Target="https://www.auctionzip.com/Full-Image/4136050/fp214.cgi" TargetMode="External"/><Relationship Id="rId213" Type="http://schemas.openxmlformats.org/officeDocument/2006/relationships/hyperlink" Target="https://www.auctionzip.com/Full-Image/4136050/fp215.cgi" TargetMode="External"/><Relationship Id="rId214" Type="http://schemas.openxmlformats.org/officeDocument/2006/relationships/hyperlink" Target="https://www.auctionzip.com/Full-Image/4136050/fp216.cgi" TargetMode="External"/><Relationship Id="rId215" Type="http://schemas.openxmlformats.org/officeDocument/2006/relationships/hyperlink" Target="https://www.auctionzip.com/Full-Image/4136050/fp217.cgi" TargetMode="External"/><Relationship Id="rId216" Type="http://schemas.openxmlformats.org/officeDocument/2006/relationships/hyperlink" Target="https://www.auctionzip.com/Full-Image/4136050/fp218.cgi" TargetMode="External"/><Relationship Id="rId217" Type="http://schemas.openxmlformats.org/officeDocument/2006/relationships/hyperlink" Target="https://www.auctionzip.com/Full-Image/4136050/fp219.cgi" TargetMode="External"/><Relationship Id="rId218" Type="http://schemas.openxmlformats.org/officeDocument/2006/relationships/hyperlink" Target="https://www.auctionzip.com/Full-Image/4136050/fp220.cgi" TargetMode="External"/><Relationship Id="rId219" Type="http://schemas.openxmlformats.org/officeDocument/2006/relationships/hyperlink" Target="https://www.auctionzip.com/Full-Image/4136050/fp221.cgi" TargetMode="External"/><Relationship Id="rId220" Type="http://schemas.openxmlformats.org/officeDocument/2006/relationships/hyperlink" Target="https://www.auctionzip.com/Full-Image/4136050/fp222.cgi" TargetMode="External"/><Relationship Id="rId221" Type="http://schemas.openxmlformats.org/officeDocument/2006/relationships/hyperlink" Target="https://www.auctionzip.com/Full-Image/4136050/fp223.cgi" TargetMode="External"/><Relationship Id="rId222" Type="http://schemas.openxmlformats.org/officeDocument/2006/relationships/hyperlink" Target="https://www.auctionzip.com/Full-Image/4136050/fp224.cgi" TargetMode="External"/><Relationship Id="rId223" Type="http://schemas.openxmlformats.org/officeDocument/2006/relationships/hyperlink" Target="https://www.auctionzip.com/Full-Image/4136050/fp225.cgi" TargetMode="External"/><Relationship Id="rId224" Type="http://schemas.openxmlformats.org/officeDocument/2006/relationships/hyperlink" Target="https://www.auctionzip.com/Full-Image/4136050/fp226.cgi" TargetMode="External"/><Relationship Id="rId225" Type="http://schemas.openxmlformats.org/officeDocument/2006/relationships/hyperlink" Target="https://www.auctionzip.com/Full-Image/4136050/fp227.cgi" TargetMode="External"/><Relationship Id="rId226" Type="http://schemas.openxmlformats.org/officeDocument/2006/relationships/hyperlink" Target="https://www.auctionzip.com/Full-Image/4136050/fp228.cgi" TargetMode="External"/><Relationship Id="rId227" Type="http://schemas.openxmlformats.org/officeDocument/2006/relationships/hyperlink" Target="https://www.auctionzip.com/Full-Image/4136050/fp229.cgi" TargetMode="External"/><Relationship Id="rId228" Type="http://schemas.openxmlformats.org/officeDocument/2006/relationships/hyperlink" Target="https://www.auctionzip.com/Full-Image/4136050/fp230.cgi" TargetMode="External"/><Relationship Id="rId229" Type="http://schemas.openxmlformats.org/officeDocument/2006/relationships/hyperlink" Target="https://www.auctionzip.com/Full-Image/4136050/fp231.cgi" TargetMode="External"/><Relationship Id="rId230" Type="http://schemas.openxmlformats.org/officeDocument/2006/relationships/hyperlink" Target="https://www.auctionzip.com/Full-Image/4136050/fp232.cgi" TargetMode="External"/><Relationship Id="rId231" Type="http://schemas.openxmlformats.org/officeDocument/2006/relationships/hyperlink" Target="https://www.auctionzip.com/Full-Image/4136050/fp233.cgi" TargetMode="External"/><Relationship Id="rId232" Type="http://schemas.openxmlformats.org/officeDocument/2006/relationships/hyperlink" Target="https://www.auctionzip.com/Full-Image/4136050/fp234.cgi" TargetMode="External"/><Relationship Id="rId233" Type="http://schemas.openxmlformats.org/officeDocument/2006/relationships/hyperlink" Target="https://www.auctionzip.com/Full-Image/4136050/fp235.cgi" TargetMode="External"/><Relationship Id="rId234" Type="http://schemas.openxmlformats.org/officeDocument/2006/relationships/hyperlink" Target="https://www.auctionzip.com/Full-Image/4136050/fp236.cgi" TargetMode="External"/><Relationship Id="rId235" Type="http://schemas.openxmlformats.org/officeDocument/2006/relationships/hyperlink" Target="https://www.auctionzip.com/Full-Image/4136050/fp237.cgi" TargetMode="External"/><Relationship Id="rId236" Type="http://schemas.openxmlformats.org/officeDocument/2006/relationships/hyperlink" Target="https://www.auctionzip.com/Full-Image/4136050/fp238.cgi" TargetMode="External"/><Relationship Id="rId237" Type="http://schemas.openxmlformats.org/officeDocument/2006/relationships/hyperlink" Target="https://www.auctionzip.com/Full-Image/4136050/fp239.cgi" TargetMode="External"/><Relationship Id="rId238" Type="http://schemas.openxmlformats.org/officeDocument/2006/relationships/hyperlink" Target="https://www.auctionzip.com/Full-Image/4136050/fp240.cgi" TargetMode="External"/><Relationship Id="rId239" Type="http://schemas.openxmlformats.org/officeDocument/2006/relationships/hyperlink" Target="https://www.auctionzip.com/Full-Image/4136050/fp241.cgi" TargetMode="External"/><Relationship Id="rId240" Type="http://schemas.openxmlformats.org/officeDocument/2006/relationships/hyperlink" Target="https://www.auctionzip.com/Full-Image/4136050/fp242.cgi" TargetMode="External"/><Relationship Id="rId241" Type="http://schemas.openxmlformats.org/officeDocument/2006/relationships/hyperlink" Target="https://www.auctionzip.com/Full-Image/4136050/fp243.cgi" TargetMode="External"/><Relationship Id="rId242" Type="http://schemas.openxmlformats.org/officeDocument/2006/relationships/hyperlink" Target="https://www.auctionzip.com/Full-Image/4136050/fp244.cgi" TargetMode="External"/><Relationship Id="rId243" Type="http://schemas.openxmlformats.org/officeDocument/2006/relationships/hyperlink" Target="https://www.auctionzip.com/Full-Image/4136050/fp245.cgi" TargetMode="External"/><Relationship Id="rId244" Type="http://schemas.openxmlformats.org/officeDocument/2006/relationships/hyperlink" Target="https://www.auctionzip.com/Full-Image/4136050/fp246.cgi" TargetMode="External"/><Relationship Id="rId245" Type="http://schemas.openxmlformats.org/officeDocument/2006/relationships/hyperlink" Target="https://www.auctionzip.com/Full-Image/4136050/fp247.cgi" TargetMode="External"/><Relationship Id="rId246" Type="http://schemas.openxmlformats.org/officeDocument/2006/relationships/hyperlink" Target="https://www.auctionzip.com/Full-Image/4136050/fp248.cgi" TargetMode="External"/><Relationship Id="rId247" Type="http://schemas.openxmlformats.org/officeDocument/2006/relationships/hyperlink" Target="https://www.auctionzip.com/Full-Image/4136050/fp249.cgi" TargetMode="External"/><Relationship Id="rId248" Type="http://schemas.openxmlformats.org/officeDocument/2006/relationships/hyperlink" Target="https://www.auctionzip.com/Full-Image/4136050/fp250.cgi" TargetMode="External"/><Relationship Id="rId249" Type="http://schemas.openxmlformats.org/officeDocument/2006/relationships/hyperlink" Target="https://www.auctionzip.com/Full-Image/4136050/fp251.cgi" TargetMode="External"/><Relationship Id="rId250" Type="http://schemas.openxmlformats.org/officeDocument/2006/relationships/hyperlink" Target="https://www.auctionzip.com/Full-Image/4136050/fp252.cgi" TargetMode="External"/><Relationship Id="rId251" Type="http://schemas.openxmlformats.org/officeDocument/2006/relationships/hyperlink" Target="https://www.auctionzip.com/Full-Image/4136050/fp253.cgi" TargetMode="External"/><Relationship Id="rId252" Type="http://schemas.openxmlformats.org/officeDocument/2006/relationships/hyperlink" Target="https://www.auctionzip.com/Full-Image/4136050/fp254.cgi" TargetMode="External"/><Relationship Id="rId253" Type="http://schemas.openxmlformats.org/officeDocument/2006/relationships/hyperlink" Target="https://www.auctionzip.com/Full-Image/4136050/fp255.cgi" TargetMode="External"/><Relationship Id="rId254" Type="http://schemas.openxmlformats.org/officeDocument/2006/relationships/hyperlink" Target="https://www.auctionzip.com/Full-Image/4136050/fp256.cgi" TargetMode="External"/><Relationship Id="rId255" Type="http://schemas.openxmlformats.org/officeDocument/2006/relationships/hyperlink" Target="https://www.auctionzip.com/Full-Image/4136050/fp257.cgi" TargetMode="External"/><Relationship Id="rId256" Type="http://schemas.openxmlformats.org/officeDocument/2006/relationships/hyperlink" Target="https://www.auctionzip.com/Full-Image/4136050/fp258.cgi" TargetMode="External"/><Relationship Id="rId257" Type="http://schemas.openxmlformats.org/officeDocument/2006/relationships/hyperlink" Target="https://www.auctionzip.com/Full-Image/4136050/fp259.cgi" TargetMode="External"/><Relationship Id="rId258" Type="http://schemas.openxmlformats.org/officeDocument/2006/relationships/hyperlink" Target="https://www.auctionzip.com/Full-Image/4136050/fp260.cgi" TargetMode="External"/><Relationship Id="rId259" Type="http://schemas.openxmlformats.org/officeDocument/2006/relationships/hyperlink" Target="https://www.auctionzip.com/Full-Image/4136050/fp261.cgi" TargetMode="External"/><Relationship Id="rId260" Type="http://schemas.openxmlformats.org/officeDocument/2006/relationships/hyperlink" Target="https://www.auctionzip.com/Full-Image/4136050/fp262.cgi" TargetMode="External"/><Relationship Id="rId261" Type="http://schemas.openxmlformats.org/officeDocument/2006/relationships/hyperlink" Target="https://www.auctionzip.com/Full-Image/4136050/fp263.cgi" TargetMode="External"/><Relationship Id="rId262" Type="http://schemas.openxmlformats.org/officeDocument/2006/relationships/hyperlink" Target="https://www.auctionzip.com/Full-Image/4136050/fp264.cgi" TargetMode="External"/><Relationship Id="rId263" Type="http://schemas.openxmlformats.org/officeDocument/2006/relationships/hyperlink" Target="https://www.auctionzip.com/Full-Image/4136050/fp265.cgi" TargetMode="External"/><Relationship Id="rId264" Type="http://schemas.openxmlformats.org/officeDocument/2006/relationships/hyperlink" Target="https://www.auctionzip.com/Full-Image/4136050/fp266.cgi" TargetMode="External"/><Relationship Id="rId265" Type="http://schemas.openxmlformats.org/officeDocument/2006/relationships/hyperlink" Target="https://www.auctionzip.com/Full-Image/4136050/fp267.cgi" TargetMode="External"/><Relationship Id="rId266" Type="http://schemas.openxmlformats.org/officeDocument/2006/relationships/hyperlink" Target="https://www.auctionzip.com/Full-Image/4136050/fp268.cgi" TargetMode="External"/><Relationship Id="rId267" Type="http://schemas.openxmlformats.org/officeDocument/2006/relationships/hyperlink" Target="https://www.auctionzip.com/Full-Image/4136050/fp269.cgi" TargetMode="External"/><Relationship Id="rId268" Type="http://schemas.openxmlformats.org/officeDocument/2006/relationships/hyperlink" Target="https://www.auctionzip.com/Full-Image/4136050/fp270.cgi" TargetMode="External"/><Relationship Id="rId269" Type="http://schemas.openxmlformats.org/officeDocument/2006/relationships/hyperlink" Target="https://www.auctionzip.com/Full-Image/4136050/fp271.cgi" TargetMode="External"/><Relationship Id="rId270" Type="http://schemas.openxmlformats.org/officeDocument/2006/relationships/hyperlink" Target="https://www.auctionzip.com/Full-Image/4136050/fp272.cgi" TargetMode="External"/><Relationship Id="rId271" Type="http://schemas.openxmlformats.org/officeDocument/2006/relationships/hyperlink" Target="https://www.auctionzip.com/Full-Image/4136050/fp273.cgi" TargetMode="External"/><Relationship Id="rId272" Type="http://schemas.openxmlformats.org/officeDocument/2006/relationships/hyperlink" Target="https://www.auctionzip.com/Full-Image/4136050/fp274.cgi" TargetMode="External"/><Relationship Id="rId273" Type="http://schemas.openxmlformats.org/officeDocument/2006/relationships/hyperlink" Target="https://www.auctionzip.com/Full-Image/4136050/fp275.cgi" TargetMode="External"/><Relationship Id="rId274" Type="http://schemas.openxmlformats.org/officeDocument/2006/relationships/hyperlink" Target="https://www.auctionzip.com/Full-Image/4136050/fp276.cgi" TargetMode="External"/><Relationship Id="rId275" Type="http://schemas.openxmlformats.org/officeDocument/2006/relationships/hyperlink" Target="https://www.auctionzip.com/Full-Image/4136050/fp277.cgi" TargetMode="External"/><Relationship Id="rId276" Type="http://schemas.openxmlformats.org/officeDocument/2006/relationships/hyperlink" Target="https://www.auctionzip.com/Full-Image/4136050/fp278.cgi" TargetMode="External"/><Relationship Id="rId277" Type="http://schemas.openxmlformats.org/officeDocument/2006/relationships/hyperlink" Target="https://www.auctionzip.com/Full-Image/4136050/fp279.cgi" TargetMode="External"/><Relationship Id="rId278" Type="http://schemas.openxmlformats.org/officeDocument/2006/relationships/hyperlink" Target="https://www.auctionzip.com/Full-Image/4136050/fp280.cgi" TargetMode="External"/><Relationship Id="rId279" Type="http://schemas.openxmlformats.org/officeDocument/2006/relationships/hyperlink" Target="https://www.auctionzip.com/Full-Image/4136050/fp281.cgi" TargetMode="External"/><Relationship Id="rId280" Type="http://schemas.openxmlformats.org/officeDocument/2006/relationships/hyperlink" Target="https://www.auctionzip.com/Full-Image/4136050/fp282.cgi" TargetMode="External"/><Relationship Id="rId281" Type="http://schemas.openxmlformats.org/officeDocument/2006/relationships/hyperlink" Target="https://www.auctionzip.com/Full-Image/4136050/fp283.cgi" TargetMode="External"/><Relationship Id="rId282" Type="http://schemas.openxmlformats.org/officeDocument/2006/relationships/hyperlink" Target="https://www.auctionzip.com/Full-Image/4136050/fp284.cgi" TargetMode="External"/><Relationship Id="rId283" Type="http://schemas.openxmlformats.org/officeDocument/2006/relationships/hyperlink" Target="https://www.auctionzip.com/Full-Image/4136050/fp285.cgi" TargetMode="External"/><Relationship Id="rId284" Type="http://schemas.openxmlformats.org/officeDocument/2006/relationships/hyperlink" Target="https://www.auctionzip.com/Full-Image/4136050/fp286.cgi" TargetMode="External"/><Relationship Id="rId285" Type="http://schemas.openxmlformats.org/officeDocument/2006/relationships/hyperlink" Target="https://www.auctionzip.com/Full-Image/4136050/fp287.cgi" TargetMode="External"/><Relationship Id="rId286" Type="http://schemas.openxmlformats.org/officeDocument/2006/relationships/hyperlink" Target="https://www.auctionzip.com/Full-Image/4136050/fp288.cgi" TargetMode="External"/><Relationship Id="rId287" Type="http://schemas.openxmlformats.org/officeDocument/2006/relationships/hyperlink" Target="https://www.auctionzip.com/Full-Image/4136050/fp289.cgi" TargetMode="External"/><Relationship Id="rId288" Type="http://schemas.openxmlformats.org/officeDocument/2006/relationships/hyperlink" Target="https://www.auctionzip.com/Full-Image/4136050/fp290.cgi" TargetMode="External"/><Relationship Id="rId289" Type="http://schemas.openxmlformats.org/officeDocument/2006/relationships/hyperlink" Target="https://www.auctionzip.com/Full-Image/4136050/fp291.cgi" TargetMode="External"/><Relationship Id="rId290" Type="http://schemas.openxmlformats.org/officeDocument/2006/relationships/hyperlink" Target="https://www.auctionzip.com/Full-Image/4136050/fp292.cgi" TargetMode="External"/><Relationship Id="rId291" Type="http://schemas.openxmlformats.org/officeDocument/2006/relationships/hyperlink" Target="https://www.auctionzip.com/Full-Image/4136050/fp293.cgi" TargetMode="External"/><Relationship Id="rId292" Type="http://schemas.openxmlformats.org/officeDocument/2006/relationships/hyperlink" Target="https://www.auctionzip.com/Full-Image/4136050/fp294.cgi" TargetMode="External"/><Relationship Id="rId293" Type="http://schemas.openxmlformats.org/officeDocument/2006/relationships/hyperlink" Target="https://www.auctionzip.com/Full-Image/4136050/fp295.cgi" TargetMode="External"/><Relationship Id="rId294" Type="http://schemas.openxmlformats.org/officeDocument/2006/relationships/hyperlink" Target="https://www.auctionzip.com/Full-Image/4136050/fp296.cgi" TargetMode="External"/><Relationship Id="rId295" Type="http://schemas.openxmlformats.org/officeDocument/2006/relationships/hyperlink" Target="https://www.auctionzip.com/Full-Image/4136050/fp297.cgi" TargetMode="External"/><Relationship Id="rId296" Type="http://schemas.openxmlformats.org/officeDocument/2006/relationships/hyperlink" Target="https://www.auctionzip.com/Full-Image/4136050/fp298.cgi" TargetMode="External"/><Relationship Id="rId297" Type="http://schemas.openxmlformats.org/officeDocument/2006/relationships/hyperlink" Target="https://www.auctionzip.com/Full-Image/4136050/fp299.cgi" TargetMode="External"/><Relationship Id="rId298" Type="http://schemas.openxmlformats.org/officeDocument/2006/relationships/hyperlink" Target="https://www.auctionzip.com/Full-Image/4136050/fp300.cgi" TargetMode="External"/><Relationship Id="rId299" Type="http://schemas.openxmlformats.org/officeDocument/2006/relationships/hyperlink" Target="https://www.auctionzip.com/Full-Image/4136050/fp301.cgi" TargetMode="External"/><Relationship Id="rId300" Type="http://schemas.openxmlformats.org/officeDocument/2006/relationships/hyperlink" Target="https://www.auctionzip.com/Full-Image/4136050/fp302.cgi" TargetMode="External"/><Relationship Id="rId301" Type="http://schemas.openxmlformats.org/officeDocument/2006/relationships/hyperlink" Target="https://www.auctionzip.com/Full-Image/4136050/fp303.cgi" TargetMode="External"/><Relationship Id="rId302" Type="http://schemas.openxmlformats.org/officeDocument/2006/relationships/hyperlink" Target="https://www.auctionzip.com/Full-Image/4136050/fp304.cgi" TargetMode="External"/><Relationship Id="rId303" Type="http://schemas.openxmlformats.org/officeDocument/2006/relationships/hyperlink" Target="https://www.auctionzip.com/Full-Image/4136050/fp305.cgi" TargetMode="External"/><Relationship Id="rId304" Type="http://schemas.openxmlformats.org/officeDocument/2006/relationships/hyperlink" Target="https://www.auctionzip.com/Full-Image/4136050/fp306.cgi" TargetMode="External"/><Relationship Id="rId305" Type="http://schemas.openxmlformats.org/officeDocument/2006/relationships/hyperlink" Target="https://www.auctionzip.com/Full-Image/4136050/fp307.cgi" TargetMode="External"/><Relationship Id="rId306" Type="http://schemas.openxmlformats.org/officeDocument/2006/relationships/hyperlink" Target="https://www.auctionzip.com/Full-Image/4136050/fp308.cgi" TargetMode="External"/><Relationship Id="rId307" Type="http://schemas.openxmlformats.org/officeDocument/2006/relationships/hyperlink" Target="https://www.auctionzip.com/Full-Image/4136050/fp309.cgi" TargetMode="External"/><Relationship Id="rId308" Type="http://schemas.openxmlformats.org/officeDocument/2006/relationships/hyperlink" Target="https://www.auctionzip.com/Full-Image/4136050/fp310.cgi" TargetMode="External"/><Relationship Id="rId309" Type="http://schemas.openxmlformats.org/officeDocument/2006/relationships/hyperlink" Target="https://www.auctionzip.com/Full-Image/4136050/fp311.cgi" TargetMode="External"/><Relationship Id="rId310" Type="http://schemas.openxmlformats.org/officeDocument/2006/relationships/hyperlink" Target="https://www.auctionzip.com/Full-Image/4136050/fp312.cgi" TargetMode="External"/><Relationship Id="rId311" Type="http://schemas.openxmlformats.org/officeDocument/2006/relationships/hyperlink" Target="https://www.auctionzip.com/Full-Image/4136050/fp313.cgi" TargetMode="External"/><Relationship Id="rId312" Type="http://schemas.openxmlformats.org/officeDocument/2006/relationships/hyperlink" Target="https://www.auctionzip.com/Full-Image/4136050/fp314.cgi" TargetMode="External"/><Relationship Id="rId313" Type="http://schemas.openxmlformats.org/officeDocument/2006/relationships/hyperlink" Target="https://www.auctionzip.com/Full-Image/4136050/fp315.cgi" TargetMode="External"/><Relationship Id="rId314" Type="http://schemas.openxmlformats.org/officeDocument/2006/relationships/hyperlink" Target="https://www.auctionzip.com/Full-Image/4136050/fp316.cgi" TargetMode="External"/><Relationship Id="rId315" Type="http://schemas.openxmlformats.org/officeDocument/2006/relationships/hyperlink" Target="https://www.auctionzip.com/Full-Image/4136050/fp317.cgi" TargetMode="External"/><Relationship Id="rId316" Type="http://schemas.openxmlformats.org/officeDocument/2006/relationships/hyperlink" Target="https://www.auctionzip.com/Full-Image/4136050/fp318.cgi" TargetMode="External"/><Relationship Id="rId317" Type="http://schemas.openxmlformats.org/officeDocument/2006/relationships/hyperlink" Target="https://www.auctionzip.com/Full-Image/4136050/fp319.cgi" TargetMode="External"/><Relationship Id="rId318" Type="http://schemas.openxmlformats.org/officeDocument/2006/relationships/hyperlink" Target="https://www.auctionzip.com/Full-Image/4136050/fp320.cgi" TargetMode="External"/><Relationship Id="rId319" Type="http://schemas.openxmlformats.org/officeDocument/2006/relationships/hyperlink" Target="https://www.auctionzip.com/Full-Image/4136050/fp321.cgi" TargetMode="External"/><Relationship Id="rId320" Type="http://schemas.openxmlformats.org/officeDocument/2006/relationships/hyperlink" Target="https://www.auctionzip.com/Full-Image/4136050/fp322.cgi" TargetMode="External"/><Relationship Id="rId321" Type="http://schemas.openxmlformats.org/officeDocument/2006/relationships/hyperlink" Target="https://www.auctionzip.com/Full-Image/4136050/fp323.cgi" TargetMode="External"/><Relationship Id="rId322" Type="http://schemas.openxmlformats.org/officeDocument/2006/relationships/hyperlink" Target="https://www.auctionzip.com/Full-Image/4136050/fp324.cgi" TargetMode="External"/><Relationship Id="rId323" Type="http://schemas.openxmlformats.org/officeDocument/2006/relationships/hyperlink" Target="https://www.auctionzip.com/Full-Image/4136050/fp325.cgi" TargetMode="External"/><Relationship Id="rId324" Type="http://schemas.openxmlformats.org/officeDocument/2006/relationships/hyperlink" Target="https://www.auctionzip.com/Full-Image/4136050/fp326.cgi" TargetMode="External"/><Relationship Id="rId325" Type="http://schemas.openxmlformats.org/officeDocument/2006/relationships/hyperlink" Target="https://www.auctionzip.com/Full-Image/4136050/fp327.cgi" TargetMode="External"/><Relationship Id="rId326" Type="http://schemas.openxmlformats.org/officeDocument/2006/relationships/hyperlink" Target="https://www.auctionzip.com/Full-Image/4136050/fp328.cgi" TargetMode="External"/><Relationship Id="rId327" Type="http://schemas.openxmlformats.org/officeDocument/2006/relationships/hyperlink" Target="https://www.auctionzip.com/Full-Image/4136050/fp329.cgi" TargetMode="External"/><Relationship Id="rId328" Type="http://schemas.openxmlformats.org/officeDocument/2006/relationships/hyperlink" Target="https://www.auctionzip.com/Full-Image/4136050/fp330.cgi" TargetMode="External"/><Relationship Id="rId329" Type="http://schemas.openxmlformats.org/officeDocument/2006/relationships/hyperlink" Target="https://www.auctionzip.com/Full-Image/4136050/fp331.cgi" TargetMode="External"/><Relationship Id="rId330" Type="http://schemas.openxmlformats.org/officeDocument/2006/relationships/hyperlink" Target="https://www.auctionzip.com/Full-Image/4136050/fp332.cgi" TargetMode="External"/><Relationship Id="rId331" Type="http://schemas.openxmlformats.org/officeDocument/2006/relationships/hyperlink" Target="https://www.auctionzip.com/Full-Image/4136050/fp333.cgi" TargetMode="External"/><Relationship Id="rId332" Type="http://schemas.openxmlformats.org/officeDocument/2006/relationships/hyperlink" Target="https://www.auctionzip.com/Full-Image/4136050/fp334.cgi" TargetMode="External"/><Relationship Id="rId333" Type="http://schemas.openxmlformats.org/officeDocument/2006/relationships/hyperlink" Target="https://www.auctionzip.com/Full-Image/4136050/fp335.cgi" TargetMode="External"/><Relationship Id="rId334" Type="http://schemas.openxmlformats.org/officeDocument/2006/relationships/hyperlink" Target="https://www.auctionzip.com/Full-Image/4136050/fp336.cgi" TargetMode="External"/><Relationship Id="rId335" Type="http://schemas.openxmlformats.org/officeDocument/2006/relationships/hyperlink" Target="https://www.auctionzip.com/Full-Image/4136050/fp337.cgi" TargetMode="External"/><Relationship Id="rId336" Type="http://schemas.openxmlformats.org/officeDocument/2006/relationships/hyperlink" Target="https://www.auctionzip.com/Full-Image/4136050/fp338.cgi" TargetMode="External"/><Relationship Id="rId337" Type="http://schemas.openxmlformats.org/officeDocument/2006/relationships/hyperlink" Target="https://www.auctionzip.com/Full-Image/4136050/fp339.cgi" TargetMode="External"/><Relationship Id="rId338" Type="http://schemas.openxmlformats.org/officeDocument/2006/relationships/hyperlink" Target="https://www.auctionzip.com/Full-Image/4136050/fp340.cgi" TargetMode="External"/><Relationship Id="rId339" Type="http://schemas.openxmlformats.org/officeDocument/2006/relationships/hyperlink" Target="https://www.auctionzip.com/Full-Image/4136050/fp341.cgi" TargetMode="External"/><Relationship Id="rId340" Type="http://schemas.openxmlformats.org/officeDocument/2006/relationships/hyperlink" Target="https://www.auctionzip.com/Full-Image/4136050/fp342.cgi" TargetMode="External"/><Relationship Id="rId341" Type="http://schemas.openxmlformats.org/officeDocument/2006/relationships/hyperlink" Target="https://www.auctionzip.com/Full-Image/4136050/fp343.cgi" TargetMode="External"/><Relationship Id="rId342" Type="http://schemas.openxmlformats.org/officeDocument/2006/relationships/hyperlink" Target="https://www.auctionzip.com/Full-Image/4136050/fp344.cgi" TargetMode="External"/><Relationship Id="rId343" Type="http://schemas.openxmlformats.org/officeDocument/2006/relationships/hyperlink" Target="https://www.auctionzip.com/Full-Image/4136050/fp345.cgi" TargetMode="External"/><Relationship Id="rId344" Type="http://schemas.openxmlformats.org/officeDocument/2006/relationships/hyperlink" Target="https://www.auctionzip.com/Full-Image/4136050/fp346.cgi" TargetMode="External"/><Relationship Id="rId345" Type="http://schemas.openxmlformats.org/officeDocument/2006/relationships/hyperlink" Target="https://www.auctionzip.com/Full-Image/4136050/fp347.cgi" TargetMode="External"/><Relationship Id="rId346" Type="http://schemas.openxmlformats.org/officeDocument/2006/relationships/hyperlink" Target="https://www.auctionzip.com/Full-Image/4136050/fp348.cgi" TargetMode="External"/><Relationship Id="rId347" Type="http://schemas.openxmlformats.org/officeDocument/2006/relationships/hyperlink" Target="https://www.auctionzip.com/Full-Image/4136050/fp349.cgi" TargetMode="External"/><Relationship Id="rId348" Type="http://schemas.openxmlformats.org/officeDocument/2006/relationships/hyperlink" Target="https://www.auctionzip.com/Full-Image/4136050/fp350.cgi" TargetMode="External"/><Relationship Id="rId349" Type="http://schemas.openxmlformats.org/officeDocument/2006/relationships/hyperlink" Target="https://www.auctionzip.com/Full-Image/4136050/fp351.cgi" TargetMode="External"/><Relationship Id="rId350" Type="http://schemas.openxmlformats.org/officeDocument/2006/relationships/hyperlink" Target="https://www.auctionzip.com/Full-Image/4136050/fp352.cgi" TargetMode="External"/><Relationship Id="rId351" Type="http://schemas.openxmlformats.org/officeDocument/2006/relationships/hyperlink" Target="https://www.auctionzip.com/Full-Image/4136050/fp353.cgi" TargetMode="External"/><Relationship Id="rId352" Type="http://schemas.openxmlformats.org/officeDocument/2006/relationships/hyperlink" Target="https://www.auctionzip.com/Full-Image/4136050/fp354.cgi" TargetMode="External"/><Relationship Id="rId353" Type="http://schemas.openxmlformats.org/officeDocument/2006/relationships/hyperlink" Target="https://www.auctionzip.com/Full-Image/4136050/fp355.cgi" TargetMode="External"/><Relationship Id="rId354" Type="http://schemas.openxmlformats.org/officeDocument/2006/relationships/hyperlink" Target="https://www.auctionzip.com/Full-Image/4136050/fp356.cgi" TargetMode="External"/><Relationship Id="rId355" Type="http://schemas.openxmlformats.org/officeDocument/2006/relationships/hyperlink" Target="https://www.auctionzip.com/Full-Image/4136050/fp357.cgi" TargetMode="External"/><Relationship Id="rId356" Type="http://schemas.openxmlformats.org/officeDocument/2006/relationships/hyperlink" Target="https://www.auctionzip.com/Full-Image/4136050/fp358.cgi" TargetMode="External"/><Relationship Id="rId357" Type="http://schemas.openxmlformats.org/officeDocument/2006/relationships/hyperlink" Target="https://www.auctionzip.com/Full-Image/4136050/fp359.cgi" TargetMode="External"/><Relationship Id="rId358" Type="http://schemas.openxmlformats.org/officeDocument/2006/relationships/hyperlink" Target="https://www.auctionzip.com/Full-Image/4136050/fp360.cgi" TargetMode="External"/><Relationship Id="rId359" Type="http://schemas.openxmlformats.org/officeDocument/2006/relationships/hyperlink" Target="https://www.auctionzip.com/Full-Image/4136050/fp361.cgi" TargetMode="External"/><Relationship Id="rId360" Type="http://schemas.openxmlformats.org/officeDocument/2006/relationships/hyperlink" Target="https://www.auctionzip.com/Full-Image/4136050/fp362.cgi" TargetMode="External"/><Relationship Id="rId361" Type="http://schemas.openxmlformats.org/officeDocument/2006/relationships/hyperlink" Target="https://www.auctionzip.com/Full-Image/4136050/fp363.cgi" TargetMode="External"/><Relationship Id="rId362" Type="http://schemas.openxmlformats.org/officeDocument/2006/relationships/hyperlink" Target="https://www.auctionzip.com/Full-Image/4136050/fp364.cgi" TargetMode="External"/><Relationship Id="rId363" Type="http://schemas.openxmlformats.org/officeDocument/2006/relationships/hyperlink" Target="https://www.auctionzip.com/Full-Image/4136050/fp365.cgi" TargetMode="External"/><Relationship Id="rId364" Type="http://schemas.openxmlformats.org/officeDocument/2006/relationships/hyperlink" Target="https://www.auctionzip.com/Full-Image/4136050/fp366.cgi" TargetMode="External"/><Relationship Id="rId365" Type="http://schemas.openxmlformats.org/officeDocument/2006/relationships/hyperlink" Target="https://www.auctionzip.com/Full-Image/4136050/fp367.cgi" TargetMode="External"/><Relationship Id="rId366" Type="http://schemas.openxmlformats.org/officeDocument/2006/relationships/hyperlink" Target="https://www.auctionzip.com/Full-Image/4136050/fp368.cgi" TargetMode="External"/><Relationship Id="rId367" Type="http://schemas.openxmlformats.org/officeDocument/2006/relationships/hyperlink" Target="https://www.auctionzip.com/Full-Image/4136050/fp370.cgi" TargetMode="External"/><Relationship Id="rId368" Type="http://schemas.openxmlformats.org/officeDocument/2006/relationships/hyperlink" Target="https://www.auctionzip.com/Full-Image/4136050/fp371.cgi" TargetMode="External"/><Relationship Id="rId369" Type="http://schemas.openxmlformats.org/officeDocument/2006/relationships/hyperlink" Target="https://www.auctionzip.com/Full-Image/4136050/fp372.cgi" TargetMode="External"/><Relationship Id="rId370" Type="http://schemas.openxmlformats.org/officeDocument/2006/relationships/hyperlink" Target="https://www.auctionzip.com/Full-Image/4136050/fp373.cgi" TargetMode="External"/><Relationship Id="rId371" Type="http://schemas.openxmlformats.org/officeDocument/2006/relationships/hyperlink" Target="https://www.auctionzip.com/Full-Image/4136050/fp374.cgi" TargetMode="External"/><Relationship Id="rId372" Type="http://schemas.openxmlformats.org/officeDocument/2006/relationships/hyperlink" Target="https://www.auctionzip.com/Full-Image/4136050/fp375.cgi" TargetMode="External"/><Relationship Id="rId373" Type="http://schemas.openxmlformats.org/officeDocument/2006/relationships/hyperlink" Target="https://www.auctionzip.com/Full-Image/4136050/fp376.cgi" TargetMode="External"/><Relationship Id="rId374" Type="http://schemas.openxmlformats.org/officeDocument/2006/relationships/hyperlink" Target="https://www.auctionzip.com/Full-Image/4136050/fp377.cgi" TargetMode="External"/><Relationship Id="rId375" Type="http://schemas.openxmlformats.org/officeDocument/2006/relationships/hyperlink" Target="https://www.auctionzip.com/Full-Image/4136050/fp378.cgi" TargetMode="External"/><Relationship Id="rId376" Type="http://schemas.openxmlformats.org/officeDocument/2006/relationships/hyperlink" Target="https://www.auctionzip.com/Full-Image/4136050/fp379.cgi" TargetMode="External"/><Relationship Id="rId377" Type="http://schemas.openxmlformats.org/officeDocument/2006/relationships/hyperlink" Target="https://www.auctionzip.com/Full-Image/4136050/fp380.cgi" TargetMode="External"/><Relationship Id="rId378" Type="http://schemas.openxmlformats.org/officeDocument/2006/relationships/hyperlink" Target="https://www.auctionzip.com/Full-Image/4136050/fp381.cgi" TargetMode="External"/><Relationship Id="rId379" Type="http://schemas.openxmlformats.org/officeDocument/2006/relationships/hyperlink" Target="https://www.auctionzip.com/Full-Image/4136050/fp382.cgi" TargetMode="External"/><Relationship Id="rId380" Type="http://schemas.openxmlformats.org/officeDocument/2006/relationships/hyperlink" Target="https://www.auctionzip.com/Full-Image/4136050/fp383.cgi" TargetMode="External"/><Relationship Id="rId381" Type="http://schemas.openxmlformats.org/officeDocument/2006/relationships/hyperlink" Target="https://www.auctionzip.com/Full-Image/4136050/fp384.cgi" TargetMode="External"/><Relationship Id="rId382" Type="http://schemas.openxmlformats.org/officeDocument/2006/relationships/hyperlink" Target="https://www.auctionzip.com/Full-Image/4136050/fp385.cgi" TargetMode="External"/><Relationship Id="rId383" Type="http://schemas.openxmlformats.org/officeDocument/2006/relationships/hyperlink" Target="https://www.auctionzip.com/Full-Image/4136050/fp386.cgi" TargetMode="External"/><Relationship Id="rId384" Type="http://schemas.openxmlformats.org/officeDocument/2006/relationships/hyperlink" Target="https://www.auctionzip.com/Full-Image/4136050/fp387.cgi" TargetMode="External"/><Relationship Id="rId385" Type="http://schemas.openxmlformats.org/officeDocument/2006/relationships/hyperlink" Target="https://www.auctionzip.com/Full-Image/4136050/fp388.cgi" TargetMode="External"/><Relationship Id="rId386" Type="http://schemas.openxmlformats.org/officeDocument/2006/relationships/hyperlink" Target="https://www.auctionzip.com/Full-Image/4136050/fp389.cgi" TargetMode="External"/><Relationship Id="rId387" Type="http://schemas.openxmlformats.org/officeDocument/2006/relationships/hyperlink" Target="https://www.auctionzip.com/Full-Image/4136050/fp390.cgi" TargetMode="External"/><Relationship Id="rId388" Type="http://schemas.openxmlformats.org/officeDocument/2006/relationships/hyperlink" Target="https://www.auctionzip.com/Full-Image/4136050/fp391.cgi" TargetMode="External"/><Relationship Id="rId389" Type="http://schemas.openxmlformats.org/officeDocument/2006/relationships/hyperlink" Target="https://www.auctionzip.com/Full-Image/4136050/fp392.cgi" TargetMode="External"/><Relationship Id="rId390" Type="http://schemas.openxmlformats.org/officeDocument/2006/relationships/hyperlink" Target="https://www.auctionzip.com/Full-Image/4136050/fp393.cgi" TargetMode="External"/><Relationship Id="rId391" Type="http://schemas.openxmlformats.org/officeDocument/2006/relationships/hyperlink" Target="https://www.auctionzip.com/Full-Image/4136050/fp394.cgi" TargetMode="External"/><Relationship Id="rId392" Type="http://schemas.openxmlformats.org/officeDocument/2006/relationships/hyperlink" Target="https://www.auctionzip.com/Full-Image/4136050/fp395.cgi" TargetMode="External"/><Relationship Id="rId393" Type="http://schemas.openxmlformats.org/officeDocument/2006/relationships/hyperlink" Target="https://www.auctionzip.com/Full-Image/4136050/fp396.cgi" TargetMode="External"/><Relationship Id="rId394" Type="http://schemas.openxmlformats.org/officeDocument/2006/relationships/hyperlink" Target="https://www.auctionzip.com/Full-Image/4136050/fp397.cgi" TargetMode="External"/><Relationship Id="rId395" Type="http://schemas.openxmlformats.org/officeDocument/2006/relationships/hyperlink" Target="https://www.auctionzip.com/Full-Image/4136050/fp398.cgi" TargetMode="External"/><Relationship Id="rId396" Type="http://schemas.openxmlformats.org/officeDocument/2006/relationships/hyperlink" Target="https://www.auctionzip.com/Full-Image/4136050/fp399.cgi" TargetMode="External"/><Relationship Id="rId397" Type="http://schemas.openxmlformats.org/officeDocument/2006/relationships/hyperlink" Target="https://www.auctionzip.com/Full-Image/4136050/fp400.cgi" TargetMode="External"/><Relationship Id="rId398" Type="http://schemas.openxmlformats.org/officeDocument/2006/relationships/hyperlink" Target="https://www.auctionzip.com/Full-Image/4136050/fp401.cgi" TargetMode="External"/><Relationship Id="rId399" Type="http://schemas.openxmlformats.org/officeDocument/2006/relationships/hyperlink" Target="https://www.auctionzip.com/Full-Image/4136050/fp402.cgi" TargetMode="External"/><Relationship Id="rId400" Type="http://schemas.openxmlformats.org/officeDocument/2006/relationships/hyperlink" Target="https://www.auctionzip.com/Full-Image/4136050/fp403.cgi" TargetMode="External"/><Relationship Id="rId401" Type="http://schemas.openxmlformats.org/officeDocument/2006/relationships/hyperlink" Target="https://www.auctionzip.com/Full-Image/4136050/fp404.cgi" TargetMode="External"/><Relationship Id="rId402" Type="http://schemas.openxmlformats.org/officeDocument/2006/relationships/hyperlink" Target="https://www.auctionzip.com/Full-Image/4136050/fp405.cgi" TargetMode="External"/><Relationship Id="rId403" Type="http://schemas.openxmlformats.org/officeDocument/2006/relationships/hyperlink" Target="https://www.auctionzip.com/Full-Image/4136050/fp406.cgi" TargetMode="External"/><Relationship Id="rId404" Type="http://schemas.openxmlformats.org/officeDocument/2006/relationships/hyperlink" Target="https://www.auctionzip.com/Full-Image/4136050/fp407.cgi" TargetMode="External"/><Relationship Id="rId405" Type="http://schemas.openxmlformats.org/officeDocument/2006/relationships/hyperlink" Target="https://www.auctionzip.com/Full-Image/4136050/fp408.cgi" TargetMode="External"/><Relationship Id="rId406" Type="http://schemas.openxmlformats.org/officeDocument/2006/relationships/hyperlink" Target="https://www.auctionzip.com/Full-Image/4136050/fp409.cgi" TargetMode="External"/><Relationship Id="rId407" Type="http://schemas.openxmlformats.org/officeDocument/2006/relationships/hyperlink" Target="https://www.auctionzip.com/Full-Image/4136050/fp410.cgi" TargetMode="External"/><Relationship Id="rId408" Type="http://schemas.openxmlformats.org/officeDocument/2006/relationships/hyperlink" Target="https://www.auctionzip.com/Full-Image/4136050/fp411.cgi" TargetMode="External"/><Relationship Id="rId409" Type="http://schemas.openxmlformats.org/officeDocument/2006/relationships/hyperlink" Target="https://www.auctionzip.com/Full-Image/4136050/fp412.cgi" TargetMode="External"/><Relationship Id="rId410" Type="http://schemas.openxmlformats.org/officeDocument/2006/relationships/hyperlink" Target="https://www.auctionzip.com/Full-Image/4136050/fp413.cgi" TargetMode="External"/><Relationship Id="rId411" Type="http://schemas.openxmlformats.org/officeDocument/2006/relationships/hyperlink" Target="https://www.auctionzip.com/Full-Image/4136050/fp414.cgi" TargetMode="External"/><Relationship Id="rId412" Type="http://schemas.openxmlformats.org/officeDocument/2006/relationships/hyperlink" Target="https://www.auctionzip.com/Full-Image/4136050/fp415.cgi" TargetMode="External"/><Relationship Id="rId413" Type="http://schemas.openxmlformats.org/officeDocument/2006/relationships/hyperlink" Target="https://www.auctionzip.com/Full-Image/4136050/fp416.cgi" TargetMode="External"/><Relationship Id="rId414" Type="http://schemas.openxmlformats.org/officeDocument/2006/relationships/hyperlink" Target="https://www.auctionzip.com/Full-Image/4136050/fp417.cgi" TargetMode="External"/><Relationship Id="rId415" Type="http://schemas.openxmlformats.org/officeDocument/2006/relationships/hyperlink" Target="https://www.auctionzip.com/Full-Image/4136050/fp418.cgi" TargetMode="External"/><Relationship Id="rId416" Type="http://schemas.openxmlformats.org/officeDocument/2006/relationships/hyperlink" Target="https://www.auctionzip.com/Full-Image/4136050/fp419.cgi" TargetMode="External"/><Relationship Id="rId417" Type="http://schemas.openxmlformats.org/officeDocument/2006/relationships/hyperlink" Target="https://www.auctionzip.com/Full-Image/4136050/fp420.cgi" TargetMode="External"/><Relationship Id="rId418" Type="http://schemas.openxmlformats.org/officeDocument/2006/relationships/hyperlink" Target="https://www.auctionzip.com/Full-Image/4136050/fp421.cgi" TargetMode="External"/><Relationship Id="rId419" Type="http://schemas.openxmlformats.org/officeDocument/2006/relationships/hyperlink" Target="https://www.auctionzip.com/Full-Image/4136050/fp422.cgi" TargetMode="External"/><Relationship Id="rId420" Type="http://schemas.openxmlformats.org/officeDocument/2006/relationships/hyperlink" Target="https://www.auctionzip.com/Full-Image/4136050/fp423.cgi" TargetMode="External"/><Relationship Id="rId421" Type="http://schemas.openxmlformats.org/officeDocument/2006/relationships/hyperlink" Target="https://www.auctionzip.com/Full-Image/4136050/fp424.cgi" TargetMode="External"/><Relationship Id="rId422" Type="http://schemas.openxmlformats.org/officeDocument/2006/relationships/hyperlink" Target="https://www.auctionzip.com/Full-Image/4136050/fp425.cgi" TargetMode="External"/><Relationship Id="rId423" Type="http://schemas.openxmlformats.org/officeDocument/2006/relationships/hyperlink" Target="https://www.auctionzip.com/Full-Image/4136050/fp426.cgi" TargetMode="External"/><Relationship Id="rId424" Type="http://schemas.openxmlformats.org/officeDocument/2006/relationships/hyperlink" Target="https://www.auctionzip.com/Full-Image/4136050/fp427.cgi" TargetMode="External"/><Relationship Id="rId425" Type="http://schemas.openxmlformats.org/officeDocument/2006/relationships/hyperlink" Target="https://www.auctionzip.com/Full-Image/4136050/fp428.cgi" TargetMode="External"/><Relationship Id="rId426" Type="http://schemas.openxmlformats.org/officeDocument/2006/relationships/hyperlink" Target="https://www.auctionzip.com/Full-Image/4136050/fp429.cgi" TargetMode="External"/><Relationship Id="rId427" Type="http://schemas.openxmlformats.org/officeDocument/2006/relationships/hyperlink" Target="https://www.auctionzip.com/Full-Image/4136050/fp430.cgi" TargetMode="External"/><Relationship Id="rId428" Type="http://schemas.openxmlformats.org/officeDocument/2006/relationships/hyperlink" Target="https://www.auctionzip.com/Full-Image/4136050/fp431.cgi" TargetMode="External"/><Relationship Id="rId429" Type="http://schemas.openxmlformats.org/officeDocument/2006/relationships/hyperlink" Target="https://www.auctionzip.com/Full-Image/4136050/fp432.cgi" TargetMode="External"/><Relationship Id="rId430" Type="http://schemas.openxmlformats.org/officeDocument/2006/relationships/hyperlink" Target="https://www.auctionzip.com/Full-Image/4136050/fp433.cgi" TargetMode="External"/><Relationship Id="rId431" Type="http://schemas.openxmlformats.org/officeDocument/2006/relationships/hyperlink" Target="https://www.auctionzip.com/Full-Image/4136050/fp434.cgi" TargetMode="External"/><Relationship Id="rId432" Type="http://schemas.openxmlformats.org/officeDocument/2006/relationships/hyperlink" Target="https://www.auctionzip.com/Full-Image/4136050/fp435.cgi" TargetMode="External"/><Relationship Id="rId433" Type="http://schemas.openxmlformats.org/officeDocument/2006/relationships/hyperlink" Target="https://www.auctionzip.com/Full-Image/4136050/fp436.cgi" TargetMode="External"/><Relationship Id="rId434" Type="http://schemas.openxmlformats.org/officeDocument/2006/relationships/hyperlink" Target="https://www.auctionzip.com/Full-Image/4136050/fp437.cgi" TargetMode="External"/><Relationship Id="rId435" Type="http://schemas.openxmlformats.org/officeDocument/2006/relationships/hyperlink" Target="https://www.auctionzip.com/Full-Image/4136050/fp438.cgi" TargetMode="External"/><Relationship Id="rId436" Type="http://schemas.openxmlformats.org/officeDocument/2006/relationships/hyperlink" Target="https://www.auctionzip.com/Full-Image/4136050/fp439.cgi" TargetMode="External"/><Relationship Id="rId437" Type="http://schemas.openxmlformats.org/officeDocument/2006/relationships/hyperlink" Target="https://www.auctionzip.com/Full-Image/4136050/fp440.cgi" TargetMode="External"/><Relationship Id="rId438" Type="http://schemas.openxmlformats.org/officeDocument/2006/relationships/hyperlink" Target="https://www.auctionzip.com/Full-Image/4136050/fp441.cgi" TargetMode="External"/><Relationship Id="rId439" Type="http://schemas.openxmlformats.org/officeDocument/2006/relationships/hyperlink" Target="https://www.auctionzip.com/Full-Image/4136050/fp442.cgi" TargetMode="External"/><Relationship Id="rId440" Type="http://schemas.openxmlformats.org/officeDocument/2006/relationships/hyperlink" Target="https://www.auctionzip.com/Full-Image/4136050/fp443.cgi" TargetMode="External"/><Relationship Id="rId441" Type="http://schemas.openxmlformats.org/officeDocument/2006/relationships/hyperlink" Target="https://www.auctionzip.com/Full-Image/4136050/fp444.cgi" TargetMode="External"/><Relationship Id="rId442" Type="http://schemas.openxmlformats.org/officeDocument/2006/relationships/hyperlink" Target="https://www.auctionzip.com/Full-Image/4136050/fp445.cgi" TargetMode="External"/><Relationship Id="rId443" Type="http://schemas.openxmlformats.org/officeDocument/2006/relationships/hyperlink" Target="https://www.auctionzip.com/Full-Image/4136050/fp446.cgi" TargetMode="External"/><Relationship Id="rId444" Type="http://schemas.openxmlformats.org/officeDocument/2006/relationships/hyperlink" Target="https://www.auctionzip.com/Full-Image/4136050/fp447.cgi" TargetMode="External"/><Relationship Id="rId445" Type="http://schemas.openxmlformats.org/officeDocument/2006/relationships/hyperlink" Target="https://www.auctionzip.com/Full-Image/4136050/fp448.cgi" TargetMode="External"/><Relationship Id="rId446" Type="http://schemas.openxmlformats.org/officeDocument/2006/relationships/hyperlink" Target="https://www.auctionzip.com/Full-Image/4136050/fp449.cgi" TargetMode="External"/><Relationship Id="rId447" Type="http://schemas.openxmlformats.org/officeDocument/2006/relationships/hyperlink" Target="https://www.auctionzip.com/Full-Image/4136050/fp450.cgi" TargetMode="External"/><Relationship Id="rId448" Type="http://schemas.openxmlformats.org/officeDocument/2006/relationships/hyperlink" Target="https://www.auctionzip.com/Full-Image/4136050/fp451.cgi" TargetMode="External"/><Relationship Id="rId449" Type="http://schemas.openxmlformats.org/officeDocument/2006/relationships/hyperlink" Target="https://www.auctionzip.com/Full-Image/4136050/fp452.cgi" TargetMode="External"/><Relationship Id="rId450" Type="http://schemas.openxmlformats.org/officeDocument/2006/relationships/hyperlink" Target="https://www.auctionzip.com/Full-Image/4136050/fp453.cgi" TargetMode="External"/><Relationship Id="rId451" Type="http://schemas.openxmlformats.org/officeDocument/2006/relationships/hyperlink" Target="https://www.auctionzip.com/Full-Image/4136050/fp454.cgi" TargetMode="External"/><Relationship Id="rId452" Type="http://schemas.openxmlformats.org/officeDocument/2006/relationships/hyperlink" Target="https://www.auctionzip.com/Full-Image/4136050/fp455.cgi" TargetMode="External"/><Relationship Id="rId45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48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7" min="6" style="1" width="13"/>
    <col collapsed="false" customWidth="true" hidden="false" outlineLevel="0" max="9" min="8" style="1" width="11"/>
    <col collapsed="false" customWidth="true" hidden="false" outlineLevel="0" max="10" min="10" style="1" width="13"/>
    <col collapsed="false" customWidth="true" hidden="false" outlineLevel="0" max="11" min="11" style="1" width="15"/>
    <col collapsed="false" customWidth="true" hidden="false" outlineLevel="0" max="12" min="12" style="1" width="16"/>
    <col collapsed="false" customWidth="true" hidden="false" outlineLevel="0" max="13" min="13" style="1" width="55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true" outlineLevel="0" collapsed="false">
      <c r="A2" s="3" t="s">
        <v>13</v>
      </c>
      <c r="B2" s="4" t="n">
        <v>65</v>
      </c>
      <c r="C2" s="5" t="s">
        <v>14</v>
      </c>
      <c r="D2" s="4" t="s">
        <v>15</v>
      </c>
      <c r="E2" s="6" t="s">
        <v>16</v>
      </c>
      <c r="F2" s="7" t="n">
        <v>200</v>
      </c>
      <c r="G2" s="7" t="n">
        <v>700</v>
      </c>
      <c r="H2" s="7" t="n">
        <v>40</v>
      </c>
      <c r="I2" s="7" t="n">
        <v>150</v>
      </c>
      <c r="J2" s="8" t="n">
        <f aca="false">ROUND(I2*1.15,0)</f>
        <v>173</v>
      </c>
      <c r="K2" s="8" t="n">
        <f aca="false">ROUND(I2*1.1,0)</f>
        <v>165</v>
      </c>
      <c r="L2" s="8" t="n">
        <f aca="false">ROUND((F2+G2)/2-J2,0)</f>
        <v>277</v>
      </c>
      <c r="M2" s="5" t="s">
        <v>17</v>
      </c>
    </row>
    <row r="3" customFormat="false" ht="15" hidden="false" customHeight="true" outlineLevel="0" collapsed="false">
      <c r="A3" s="3" t="s">
        <v>13</v>
      </c>
      <c r="B3" s="4" t="n">
        <v>1</v>
      </c>
      <c r="C3" s="5" t="s">
        <v>18</v>
      </c>
      <c r="D3" s="4" t="s">
        <v>19</v>
      </c>
      <c r="E3" s="6" t="s">
        <v>16</v>
      </c>
      <c r="F3" s="7" t="n">
        <v>150</v>
      </c>
      <c r="G3" s="7" t="n">
        <v>800</v>
      </c>
      <c r="H3" s="7" t="n">
        <v>30</v>
      </c>
      <c r="I3" s="7" t="n">
        <v>100</v>
      </c>
      <c r="J3" s="8" t="n">
        <f aca="false">ROUND(I3*1.15,0)</f>
        <v>115</v>
      </c>
      <c r="K3" s="8" t="n">
        <f aca="false">ROUND(I3*1.1,0)</f>
        <v>110</v>
      </c>
      <c r="L3" s="8" t="n">
        <f aca="false">ROUND((F3+G3)/2-J3,0)</f>
        <v>360</v>
      </c>
      <c r="M3" s="5" t="s">
        <v>20</v>
      </c>
    </row>
    <row r="4" customFormat="false" ht="15" hidden="false" customHeight="true" outlineLevel="0" collapsed="false">
      <c r="A4" s="3" t="s">
        <v>13</v>
      </c>
      <c r="B4" s="4" t="n">
        <v>250</v>
      </c>
      <c r="C4" s="5" t="s">
        <v>21</v>
      </c>
      <c r="D4" s="4" t="s">
        <v>19</v>
      </c>
      <c r="E4" s="6" t="s">
        <v>16</v>
      </c>
      <c r="F4" s="7" t="n">
        <v>150</v>
      </c>
      <c r="G4" s="7" t="n">
        <v>800</v>
      </c>
      <c r="H4" s="7" t="n">
        <v>30</v>
      </c>
      <c r="I4" s="7" t="n">
        <v>100</v>
      </c>
      <c r="J4" s="8" t="n">
        <f aca="false">ROUND(I4*1.15,0)</f>
        <v>115</v>
      </c>
      <c r="K4" s="8" t="n">
        <f aca="false">ROUND(I4*1.1,0)</f>
        <v>110</v>
      </c>
      <c r="L4" s="8" t="n">
        <f aca="false">ROUND((F4+G4)/2-J4,0)</f>
        <v>360</v>
      </c>
      <c r="M4" s="5"/>
    </row>
    <row r="5" customFormat="false" ht="15" hidden="false" customHeight="true" outlineLevel="0" collapsed="false">
      <c r="A5" s="3" t="s">
        <v>13</v>
      </c>
      <c r="B5" s="4" t="n">
        <v>251</v>
      </c>
      <c r="C5" s="5" t="s">
        <v>22</v>
      </c>
      <c r="D5" s="4" t="s">
        <v>19</v>
      </c>
      <c r="E5" s="6" t="s">
        <v>16</v>
      </c>
      <c r="F5" s="7" t="n">
        <v>150</v>
      </c>
      <c r="G5" s="7" t="n">
        <v>800</v>
      </c>
      <c r="H5" s="7" t="n">
        <v>30</v>
      </c>
      <c r="I5" s="7" t="n">
        <v>100</v>
      </c>
      <c r="J5" s="8" t="n">
        <f aca="false">ROUND(I5*1.15,0)</f>
        <v>115</v>
      </c>
      <c r="K5" s="8" t="n">
        <f aca="false">ROUND(I5*1.1,0)</f>
        <v>110</v>
      </c>
      <c r="L5" s="8" t="n">
        <f aca="false">ROUND((F5+G5)/2-J5,0)</f>
        <v>360</v>
      </c>
      <c r="M5" s="5"/>
    </row>
    <row r="6" customFormat="false" ht="15" hidden="false" customHeight="true" outlineLevel="0" collapsed="false">
      <c r="A6" s="3" t="s">
        <v>13</v>
      </c>
      <c r="B6" s="4" t="n">
        <v>240</v>
      </c>
      <c r="C6" s="5" t="s">
        <v>23</v>
      </c>
      <c r="D6" s="4" t="s">
        <v>19</v>
      </c>
      <c r="E6" s="6" t="s">
        <v>16</v>
      </c>
      <c r="F6" s="7" t="n">
        <v>150</v>
      </c>
      <c r="G6" s="7" t="n">
        <v>600</v>
      </c>
      <c r="H6" s="7" t="n">
        <v>30</v>
      </c>
      <c r="I6" s="7" t="n">
        <v>100</v>
      </c>
      <c r="J6" s="8" t="n">
        <f aca="false">ROUND(I6*1.15,0)</f>
        <v>115</v>
      </c>
      <c r="K6" s="8" t="n">
        <f aca="false">ROUND(I6*1.1,0)</f>
        <v>110</v>
      </c>
      <c r="L6" s="8" t="n">
        <f aca="false">ROUND((F6+G6)/2-J6,0)</f>
        <v>260</v>
      </c>
      <c r="M6" s="5"/>
    </row>
    <row r="7" customFormat="false" ht="15" hidden="false" customHeight="true" outlineLevel="0" collapsed="false">
      <c r="A7" s="3" t="s">
        <v>13</v>
      </c>
      <c r="B7" s="4" t="n">
        <v>254</v>
      </c>
      <c r="C7" s="5" t="s">
        <v>24</v>
      </c>
      <c r="D7" s="4" t="s">
        <v>19</v>
      </c>
      <c r="E7" s="6" t="s">
        <v>16</v>
      </c>
      <c r="F7" s="7" t="n">
        <v>150</v>
      </c>
      <c r="G7" s="7" t="n">
        <v>600</v>
      </c>
      <c r="H7" s="7" t="n">
        <v>30</v>
      </c>
      <c r="I7" s="7" t="n">
        <v>100</v>
      </c>
      <c r="J7" s="8" t="n">
        <f aca="false">ROUND(I7*1.15,0)</f>
        <v>115</v>
      </c>
      <c r="K7" s="8" t="n">
        <f aca="false">ROUND(I7*1.1,0)</f>
        <v>110</v>
      </c>
      <c r="L7" s="8" t="n">
        <f aca="false">ROUND((F7+G7)/2-J7,0)</f>
        <v>260</v>
      </c>
      <c r="M7" s="5"/>
    </row>
    <row r="8" customFormat="false" ht="15" hidden="false" customHeight="true" outlineLevel="0" collapsed="false">
      <c r="A8" s="3" t="s">
        <v>13</v>
      </c>
      <c r="B8" s="4" t="n">
        <v>252</v>
      </c>
      <c r="C8" s="5" t="s">
        <v>25</v>
      </c>
      <c r="D8" s="4" t="s">
        <v>19</v>
      </c>
      <c r="E8" s="6" t="s">
        <v>16</v>
      </c>
      <c r="F8" s="7" t="n">
        <v>150</v>
      </c>
      <c r="G8" s="7" t="n">
        <v>800</v>
      </c>
      <c r="H8" s="7" t="n">
        <v>30</v>
      </c>
      <c r="I8" s="7" t="n">
        <v>100</v>
      </c>
      <c r="J8" s="8" t="n">
        <f aca="false">ROUND(I8*1.15,0)</f>
        <v>115</v>
      </c>
      <c r="K8" s="8" t="n">
        <f aca="false">ROUND(I8*1.1,0)</f>
        <v>110</v>
      </c>
      <c r="L8" s="8" t="n">
        <f aca="false">ROUND((F8+G8)/2-J8,0)</f>
        <v>360</v>
      </c>
      <c r="M8" s="5" t="s">
        <v>26</v>
      </c>
    </row>
    <row r="9" customFormat="false" ht="15" hidden="false" customHeight="true" outlineLevel="0" collapsed="false">
      <c r="A9" s="3" t="s">
        <v>13</v>
      </c>
      <c r="B9" s="4" t="n">
        <v>253</v>
      </c>
      <c r="C9" s="5" t="s">
        <v>27</v>
      </c>
      <c r="D9" s="4" t="s">
        <v>19</v>
      </c>
      <c r="E9" s="6" t="s">
        <v>16</v>
      </c>
      <c r="F9" s="7" t="n">
        <v>150</v>
      </c>
      <c r="G9" s="7" t="n">
        <v>800</v>
      </c>
      <c r="H9" s="7" t="n">
        <v>30</v>
      </c>
      <c r="I9" s="7" t="n">
        <v>100</v>
      </c>
      <c r="J9" s="8" t="n">
        <f aca="false">ROUND(I9*1.15,0)</f>
        <v>115</v>
      </c>
      <c r="K9" s="8" t="n">
        <f aca="false">ROUND(I9*1.1,0)</f>
        <v>110</v>
      </c>
      <c r="L9" s="8" t="n">
        <f aca="false">ROUND((F9+G9)/2-J9,0)</f>
        <v>360</v>
      </c>
      <c r="M9" s="5" t="s">
        <v>28</v>
      </c>
    </row>
    <row r="10" customFormat="false" ht="15" hidden="false" customHeight="true" outlineLevel="0" collapsed="false">
      <c r="A10" s="3" t="s">
        <v>13</v>
      </c>
      <c r="B10" s="4" t="n">
        <v>248</v>
      </c>
      <c r="C10" s="5" t="s">
        <v>29</v>
      </c>
      <c r="D10" s="4" t="s">
        <v>19</v>
      </c>
      <c r="E10" s="6" t="s">
        <v>16</v>
      </c>
      <c r="F10" s="7" t="n">
        <v>150</v>
      </c>
      <c r="G10" s="7" t="n">
        <v>600</v>
      </c>
      <c r="H10" s="7" t="n">
        <v>30</v>
      </c>
      <c r="I10" s="7" t="n">
        <v>100</v>
      </c>
      <c r="J10" s="8" t="n">
        <f aca="false">ROUND(I10*1.15,0)</f>
        <v>115</v>
      </c>
      <c r="K10" s="8" t="n">
        <f aca="false">ROUND(I10*1.1,0)</f>
        <v>110</v>
      </c>
      <c r="L10" s="8" t="n">
        <f aca="false">ROUND((F10+G10)/2-J10,0)</f>
        <v>260</v>
      </c>
      <c r="M10" s="5" t="s">
        <v>30</v>
      </c>
    </row>
    <row r="11" customFormat="false" ht="15" hidden="false" customHeight="true" outlineLevel="0" collapsed="false">
      <c r="A11" s="9" t="s">
        <v>31</v>
      </c>
      <c r="B11" s="4" t="n">
        <v>249</v>
      </c>
      <c r="C11" s="5" t="s">
        <v>32</v>
      </c>
      <c r="D11" s="4" t="s">
        <v>19</v>
      </c>
      <c r="E11" s="6" t="s">
        <v>16</v>
      </c>
      <c r="F11" s="7" t="n">
        <v>100</v>
      </c>
      <c r="G11" s="7" t="n">
        <v>500</v>
      </c>
      <c r="H11" s="7" t="n">
        <v>25</v>
      </c>
      <c r="I11" s="7" t="n">
        <v>75</v>
      </c>
      <c r="J11" s="8" t="n">
        <f aca="false">ROUND(I11*1.15,0)</f>
        <v>86</v>
      </c>
      <c r="K11" s="8" t="n">
        <f aca="false">ROUND(I11*1.1,0)</f>
        <v>83</v>
      </c>
      <c r="L11" s="8" t="n">
        <f aca="false">ROUND((F11+G11)/2-J11,0)</f>
        <v>214</v>
      </c>
      <c r="M11" s="5" t="s">
        <v>30</v>
      </c>
    </row>
    <row r="12" customFormat="false" ht="15" hidden="false" customHeight="true" outlineLevel="0" collapsed="false">
      <c r="A12" s="9" t="s">
        <v>31</v>
      </c>
      <c r="B12" s="4" t="n">
        <v>242</v>
      </c>
      <c r="C12" s="5" t="s">
        <v>33</v>
      </c>
      <c r="D12" s="4" t="s">
        <v>19</v>
      </c>
      <c r="E12" s="6" t="s">
        <v>16</v>
      </c>
      <c r="F12" s="7" t="n">
        <v>100</v>
      </c>
      <c r="G12" s="7" t="n">
        <v>500</v>
      </c>
      <c r="H12" s="7" t="n">
        <v>25</v>
      </c>
      <c r="I12" s="7" t="n">
        <v>75</v>
      </c>
      <c r="J12" s="8" t="n">
        <f aca="false">ROUND(I12*1.15,0)</f>
        <v>86</v>
      </c>
      <c r="K12" s="8" t="n">
        <f aca="false">ROUND(I12*1.1,0)</f>
        <v>83</v>
      </c>
      <c r="L12" s="8" t="n">
        <f aca="false">ROUND((F12+G12)/2-J12,0)</f>
        <v>214</v>
      </c>
      <c r="M12" s="5" t="s">
        <v>34</v>
      </c>
    </row>
    <row r="13" customFormat="false" ht="15" hidden="false" customHeight="true" outlineLevel="0" collapsed="false">
      <c r="A13" s="9" t="s">
        <v>31</v>
      </c>
      <c r="B13" s="4" t="n">
        <v>245</v>
      </c>
      <c r="C13" s="5" t="s">
        <v>35</v>
      </c>
      <c r="D13" s="4" t="s">
        <v>19</v>
      </c>
      <c r="E13" s="6" t="s">
        <v>16</v>
      </c>
      <c r="F13" s="7" t="n">
        <v>100</v>
      </c>
      <c r="G13" s="7" t="n">
        <v>400</v>
      </c>
      <c r="H13" s="7" t="n">
        <v>25</v>
      </c>
      <c r="I13" s="7" t="n">
        <v>75</v>
      </c>
      <c r="J13" s="8" t="n">
        <f aca="false">ROUND(I13*1.15,0)</f>
        <v>86</v>
      </c>
      <c r="K13" s="8" t="n">
        <f aca="false">ROUND(I13*1.1,0)</f>
        <v>83</v>
      </c>
      <c r="L13" s="8" t="n">
        <f aca="false">ROUND((F13+G13)/2-J13,0)</f>
        <v>164</v>
      </c>
      <c r="M13" s="5" t="s">
        <v>30</v>
      </c>
    </row>
    <row r="14" customFormat="false" ht="15" hidden="false" customHeight="true" outlineLevel="0" collapsed="false">
      <c r="A14" s="9" t="s">
        <v>31</v>
      </c>
      <c r="B14" s="4" t="n">
        <v>241</v>
      </c>
      <c r="C14" s="5" t="s">
        <v>36</v>
      </c>
      <c r="D14" s="4" t="s">
        <v>19</v>
      </c>
      <c r="E14" s="6" t="s">
        <v>16</v>
      </c>
      <c r="F14" s="7" t="n">
        <v>100</v>
      </c>
      <c r="G14" s="7" t="n">
        <v>400</v>
      </c>
      <c r="H14" s="7" t="n">
        <v>25</v>
      </c>
      <c r="I14" s="7" t="n">
        <v>75</v>
      </c>
      <c r="J14" s="8" t="n">
        <f aca="false">ROUND(I14*1.15,0)</f>
        <v>86</v>
      </c>
      <c r="K14" s="8" t="n">
        <f aca="false">ROUND(I14*1.1,0)</f>
        <v>83</v>
      </c>
      <c r="L14" s="8" t="n">
        <f aca="false">ROUND((F14+G14)/2-J14,0)</f>
        <v>164</v>
      </c>
      <c r="M14" s="5"/>
    </row>
    <row r="15" customFormat="false" ht="15" hidden="false" customHeight="true" outlineLevel="0" collapsed="false">
      <c r="A15" s="3" t="s">
        <v>13</v>
      </c>
      <c r="B15" s="4" t="n">
        <v>243</v>
      </c>
      <c r="C15" s="5" t="s">
        <v>37</v>
      </c>
      <c r="D15" s="4" t="s">
        <v>19</v>
      </c>
      <c r="E15" s="6" t="s">
        <v>16</v>
      </c>
      <c r="F15" s="7" t="n">
        <v>150</v>
      </c>
      <c r="G15" s="7" t="n">
        <v>600</v>
      </c>
      <c r="H15" s="7" t="n">
        <v>30</v>
      </c>
      <c r="I15" s="7" t="n">
        <v>100</v>
      </c>
      <c r="J15" s="8" t="n">
        <f aca="false">ROUND(I15*1.15,0)</f>
        <v>115</v>
      </c>
      <c r="K15" s="8" t="n">
        <f aca="false">ROUND(I15*1.1,0)</f>
        <v>110</v>
      </c>
      <c r="L15" s="8" t="n">
        <f aca="false">ROUND((F15+G15)/2-J15,0)</f>
        <v>260</v>
      </c>
      <c r="M15" s="5" t="s">
        <v>38</v>
      </c>
    </row>
    <row r="16" customFormat="false" ht="15" hidden="false" customHeight="true" outlineLevel="0" collapsed="false">
      <c r="A16" s="9" t="s">
        <v>31</v>
      </c>
      <c r="B16" s="4" t="n">
        <v>244</v>
      </c>
      <c r="C16" s="5" t="s">
        <v>39</v>
      </c>
      <c r="D16" s="4" t="s">
        <v>19</v>
      </c>
      <c r="E16" s="6" t="s">
        <v>16</v>
      </c>
      <c r="F16" s="7" t="n">
        <v>100</v>
      </c>
      <c r="G16" s="7" t="n">
        <v>500</v>
      </c>
      <c r="H16" s="7" t="n">
        <v>25</v>
      </c>
      <c r="I16" s="7" t="n">
        <v>75</v>
      </c>
      <c r="J16" s="8" t="n">
        <f aca="false">ROUND(I16*1.15,0)</f>
        <v>86</v>
      </c>
      <c r="K16" s="8" t="n">
        <f aca="false">ROUND(I16*1.1,0)</f>
        <v>83</v>
      </c>
      <c r="L16" s="8" t="n">
        <f aca="false">ROUND((F16+G16)/2-J16,0)</f>
        <v>214</v>
      </c>
      <c r="M16" s="5"/>
    </row>
    <row r="17" customFormat="false" ht="15" hidden="false" customHeight="true" outlineLevel="0" collapsed="false">
      <c r="A17" s="9" t="s">
        <v>31</v>
      </c>
      <c r="B17" s="4" t="n">
        <v>246</v>
      </c>
      <c r="C17" s="5" t="s">
        <v>40</v>
      </c>
      <c r="D17" s="4" t="s">
        <v>19</v>
      </c>
      <c r="E17" s="6" t="s">
        <v>16</v>
      </c>
      <c r="F17" s="7" t="n">
        <v>100</v>
      </c>
      <c r="G17" s="7" t="n">
        <v>500</v>
      </c>
      <c r="H17" s="7" t="n">
        <v>25</v>
      </c>
      <c r="I17" s="7" t="n">
        <v>75</v>
      </c>
      <c r="J17" s="8" t="n">
        <f aca="false">ROUND(I17*1.15,0)</f>
        <v>86</v>
      </c>
      <c r="K17" s="8" t="n">
        <f aca="false">ROUND(I17*1.1,0)</f>
        <v>83</v>
      </c>
      <c r="L17" s="8" t="n">
        <f aca="false">ROUND((F17+G17)/2-J17,0)</f>
        <v>214</v>
      </c>
      <c r="M17" s="5"/>
    </row>
    <row r="18" customFormat="false" ht="15" hidden="false" customHeight="true" outlineLevel="0" collapsed="false">
      <c r="A18" s="3" t="s">
        <v>13</v>
      </c>
      <c r="B18" s="4" t="n">
        <v>247</v>
      </c>
      <c r="C18" s="5" t="s">
        <v>41</v>
      </c>
      <c r="D18" s="4" t="s">
        <v>19</v>
      </c>
      <c r="E18" s="6" t="s">
        <v>16</v>
      </c>
      <c r="F18" s="7" t="n">
        <v>150</v>
      </c>
      <c r="G18" s="7" t="n">
        <v>700</v>
      </c>
      <c r="H18" s="7" t="n">
        <v>30</v>
      </c>
      <c r="I18" s="7" t="n">
        <v>100</v>
      </c>
      <c r="J18" s="8" t="n">
        <f aca="false">ROUND(I18*1.15,0)</f>
        <v>115</v>
      </c>
      <c r="K18" s="8" t="n">
        <f aca="false">ROUND(I18*1.1,0)</f>
        <v>110</v>
      </c>
      <c r="L18" s="8" t="n">
        <f aca="false">ROUND((F18+G18)/2-J18,0)</f>
        <v>310</v>
      </c>
      <c r="M18" s="5" t="s">
        <v>42</v>
      </c>
    </row>
    <row r="19" customFormat="false" ht="15" hidden="false" customHeight="true" outlineLevel="0" collapsed="false">
      <c r="A19" s="10" t="s">
        <v>43</v>
      </c>
      <c r="B19" s="4" t="n">
        <v>239</v>
      </c>
      <c r="C19" s="5" t="s">
        <v>44</v>
      </c>
      <c r="D19" s="4" t="s">
        <v>19</v>
      </c>
      <c r="E19" s="6" t="s">
        <v>16</v>
      </c>
      <c r="F19" s="7" t="n">
        <v>100</v>
      </c>
      <c r="G19" s="7" t="n">
        <v>400</v>
      </c>
      <c r="H19" s="7" t="n">
        <v>25</v>
      </c>
      <c r="I19" s="7" t="n">
        <v>75</v>
      </c>
      <c r="J19" s="8" t="n">
        <f aca="false">ROUND(I19*1.15,0)</f>
        <v>86</v>
      </c>
      <c r="K19" s="8" t="n">
        <f aca="false">ROUND(I19*1.1,0)</f>
        <v>83</v>
      </c>
      <c r="L19" s="8" t="n">
        <f aca="false">ROUND((F19+G19)/2-J19,0)</f>
        <v>164</v>
      </c>
      <c r="M19" s="5" t="s">
        <v>45</v>
      </c>
    </row>
    <row r="20" customFormat="false" ht="15" hidden="false" customHeight="true" outlineLevel="0" collapsed="false">
      <c r="A20" s="3" t="s">
        <v>13</v>
      </c>
      <c r="B20" s="4" t="n">
        <v>2</v>
      </c>
      <c r="C20" s="5" t="s">
        <v>46</v>
      </c>
      <c r="D20" s="4" t="s">
        <v>47</v>
      </c>
      <c r="E20" s="6" t="s">
        <v>16</v>
      </c>
      <c r="F20" s="7" t="n">
        <v>200</v>
      </c>
      <c r="G20" s="7" t="n">
        <v>300</v>
      </c>
      <c r="H20" s="7" t="n">
        <v>40</v>
      </c>
      <c r="I20" s="7" t="n">
        <v>110</v>
      </c>
      <c r="J20" s="8" t="n">
        <f aca="false">ROUND(I20*1.15,0)</f>
        <v>127</v>
      </c>
      <c r="K20" s="8" t="n">
        <f aca="false">ROUND(I20*1.1,0)</f>
        <v>121</v>
      </c>
      <c r="L20" s="8" t="n">
        <f aca="false">ROUND((F20+G20)/2-J20,0)</f>
        <v>123</v>
      </c>
      <c r="M20" s="5" t="s">
        <v>48</v>
      </c>
    </row>
    <row r="21" customFormat="false" ht="15" hidden="false" customHeight="true" outlineLevel="0" collapsed="false">
      <c r="A21" s="9" t="s">
        <v>31</v>
      </c>
      <c r="B21" s="4" t="n">
        <v>157</v>
      </c>
      <c r="C21" s="5" t="s">
        <v>49</v>
      </c>
      <c r="D21" s="4" t="s">
        <v>47</v>
      </c>
      <c r="E21" s="6" t="s">
        <v>16</v>
      </c>
      <c r="F21" s="7" t="n">
        <v>150</v>
      </c>
      <c r="G21" s="7" t="n">
        <v>300</v>
      </c>
      <c r="H21" s="7" t="n">
        <v>30</v>
      </c>
      <c r="I21" s="7" t="n">
        <v>100</v>
      </c>
      <c r="J21" s="8" t="n">
        <f aca="false">ROUND(I21*1.15,0)</f>
        <v>115</v>
      </c>
      <c r="K21" s="8" t="n">
        <f aca="false">ROUND(I21*1.1,0)</f>
        <v>110</v>
      </c>
      <c r="L21" s="8" t="n">
        <f aca="false">ROUND((F21+G21)/2-J21,0)</f>
        <v>110</v>
      </c>
      <c r="M21" s="5"/>
    </row>
    <row r="22" customFormat="false" ht="15" hidden="false" customHeight="true" outlineLevel="0" collapsed="false">
      <c r="A22" s="3" t="s">
        <v>13</v>
      </c>
      <c r="B22" s="4" t="n">
        <v>160</v>
      </c>
      <c r="C22" s="5" t="s">
        <v>50</v>
      </c>
      <c r="D22" s="4" t="s">
        <v>47</v>
      </c>
      <c r="E22" s="6" t="s">
        <v>16</v>
      </c>
      <c r="F22" s="7" t="n">
        <v>250</v>
      </c>
      <c r="G22" s="7" t="n">
        <v>750</v>
      </c>
      <c r="H22" s="7" t="n">
        <v>50</v>
      </c>
      <c r="I22" s="7" t="n">
        <v>150</v>
      </c>
      <c r="J22" s="8" t="n">
        <f aca="false">ROUND(I22*1.15,0)</f>
        <v>173</v>
      </c>
      <c r="K22" s="8" t="n">
        <f aca="false">ROUND(I22*1.1,0)</f>
        <v>165</v>
      </c>
      <c r="L22" s="8" t="n">
        <f aca="false">ROUND((F22+G22)/2-J22,0)</f>
        <v>327</v>
      </c>
      <c r="M22" s="5" t="s">
        <v>51</v>
      </c>
    </row>
    <row r="23" customFormat="false" ht="15" hidden="false" customHeight="true" outlineLevel="0" collapsed="false">
      <c r="A23" s="3" t="s">
        <v>13</v>
      </c>
      <c r="B23" s="4" t="n">
        <v>166</v>
      </c>
      <c r="C23" s="5" t="s">
        <v>52</v>
      </c>
      <c r="D23" s="4" t="s">
        <v>47</v>
      </c>
      <c r="E23" s="6" t="s">
        <v>16</v>
      </c>
      <c r="F23" s="7" t="n">
        <v>250</v>
      </c>
      <c r="G23" s="7" t="n">
        <v>750</v>
      </c>
      <c r="H23" s="7" t="n">
        <v>50</v>
      </c>
      <c r="I23" s="7" t="n">
        <v>150</v>
      </c>
      <c r="J23" s="8" t="n">
        <f aca="false">ROUND(I23*1.15,0)</f>
        <v>173</v>
      </c>
      <c r="K23" s="8" t="n">
        <f aca="false">ROUND(I23*1.1,0)</f>
        <v>165</v>
      </c>
      <c r="L23" s="8" t="n">
        <f aca="false">ROUND((F23+G23)/2-J23,0)</f>
        <v>327</v>
      </c>
      <c r="M23" s="5"/>
    </row>
    <row r="24" customFormat="false" ht="15" hidden="false" customHeight="true" outlineLevel="0" collapsed="false">
      <c r="A24" s="3" t="s">
        <v>13</v>
      </c>
      <c r="B24" s="4" t="n">
        <v>211</v>
      </c>
      <c r="C24" s="5" t="s">
        <v>53</v>
      </c>
      <c r="D24" s="4" t="s">
        <v>47</v>
      </c>
      <c r="E24" s="6" t="s">
        <v>16</v>
      </c>
      <c r="F24" s="7" t="n">
        <v>200</v>
      </c>
      <c r="G24" s="7" t="n">
        <v>440</v>
      </c>
      <c r="H24" s="7" t="n">
        <v>40</v>
      </c>
      <c r="I24" s="7" t="n">
        <v>120</v>
      </c>
      <c r="J24" s="8" t="n">
        <f aca="false">ROUND(I24*1.15,0)</f>
        <v>138</v>
      </c>
      <c r="K24" s="8" t="n">
        <f aca="false">ROUND(I24*1.1,0)</f>
        <v>132</v>
      </c>
      <c r="L24" s="8" t="n">
        <f aca="false">ROUND((F24+G24)/2-J24,0)</f>
        <v>182</v>
      </c>
      <c r="M24" s="5" t="s">
        <v>54</v>
      </c>
    </row>
    <row r="25" customFormat="false" ht="23.25" hidden="false" customHeight="true" outlineLevel="0" collapsed="false">
      <c r="A25" s="9" t="s">
        <v>31</v>
      </c>
      <c r="B25" s="4" t="n">
        <v>205</v>
      </c>
      <c r="C25" s="5" t="s">
        <v>55</v>
      </c>
      <c r="D25" s="4" t="s">
        <v>47</v>
      </c>
      <c r="E25" s="6" t="s">
        <v>16</v>
      </c>
      <c r="F25" s="7" t="n">
        <v>100</v>
      </c>
      <c r="G25" s="7" t="n">
        <v>250</v>
      </c>
      <c r="H25" s="7" t="n">
        <v>20</v>
      </c>
      <c r="I25" s="7" t="n">
        <v>70</v>
      </c>
      <c r="J25" s="8" t="n">
        <f aca="false">ROUND(I25*1.15,0)</f>
        <v>81</v>
      </c>
      <c r="K25" s="8" t="n">
        <f aca="false">ROUND(I25*1.1,0)</f>
        <v>77</v>
      </c>
      <c r="L25" s="8" t="n">
        <f aca="false">ROUND((F25+G25)/2-J25,0)</f>
        <v>94</v>
      </c>
      <c r="M25" s="5" t="s">
        <v>56</v>
      </c>
    </row>
    <row r="26" customFormat="false" ht="15" hidden="false" customHeight="true" outlineLevel="0" collapsed="false">
      <c r="A26" s="9" t="s">
        <v>31</v>
      </c>
      <c r="B26" s="4" t="n">
        <v>215</v>
      </c>
      <c r="C26" s="5" t="s">
        <v>57</v>
      </c>
      <c r="D26" s="4" t="s">
        <v>47</v>
      </c>
      <c r="E26" s="6" t="s">
        <v>16</v>
      </c>
      <c r="F26" s="7" t="n">
        <v>75</v>
      </c>
      <c r="G26" s="7" t="n">
        <v>200</v>
      </c>
      <c r="H26" s="7" t="n">
        <v>15</v>
      </c>
      <c r="I26" s="7" t="n">
        <v>60</v>
      </c>
      <c r="J26" s="8" t="n">
        <f aca="false">ROUND(I26*1.15,0)</f>
        <v>69</v>
      </c>
      <c r="K26" s="8" t="n">
        <f aca="false">ROUND(I26*1.1,0)</f>
        <v>66</v>
      </c>
      <c r="L26" s="8" t="n">
        <f aca="false">ROUND((F26+G26)/2-J26,0)</f>
        <v>69</v>
      </c>
      <c r="M26" s="5" t="s">
        <v>30</v>
      </c>
    </row>
    <row r="27" customFormat="false" ht="15" hidden="false" customHeight="true" outlineLevel="0" collapsed="false">
      <c r="A27" s="9" t="s">
        <v>31</v>
      </c>
      <c r="B27" s="4" t="n">
        <v>89</v>
      </c>
      <c r="C27" s="5" t="s">
        <v>58</v>
      </c>
      <c r="D27" s="4" t="s">
        <v>59</v>
      </c>
      <c r="E27" s="6" t="s">
        <v>16</v>
      </c>
      <c r="F27" s="7" t="n">
        <v>150</v>
      </c>
      <c r="G27" s="7" t="n">
        <v>400</v>
      </c>
      <c r="H27" s="7" t="n">
        <v>30</v>
      </c>
      <c r="I27" s="7" t="n">
        <v>100</v>
      </c>
      <c r="J27" s="8" t="n">
        <f aca="false">ROUND(I27*1.15,0)</f>
        <v>115</v>
      </c>
      <c r="K27" s="8" t="n">
        <f aca="false">ROUND(I27*1.1,0)</f>
        <v>110</v>
      </c>
      <c r="L27" s="8" t="n">
        <f aca="false">ROUND((F27+G27)/2-J27,0)</f>
        <v>160</v>
      </c>
      <c r="M27" s="5" t="s">
        <v>60</v>
      </c>
    </row>
    <row r="28" customFormat="false" ht="15" hidden="false" customHeight="true" outlineLevel="0" collapsed="false">
      <c r="A28" s="3" t="s">
        <v>13</v>
      </c>
      <c r="B28" s="4" t="n">
        <v>82</v>
      </c>
      <c r="C28" s="5" t="s">
        <v>61</v>
      </c>
      <c r="D28" s="4" t="s">
        <v>59</v>
      </c>
      <c r="E28" s="6" t="s">
        <v>16</v>
      </c>
      <c r="F28" s="7" t="n">
        <v>100</v>
      </c>
      <c r="G28" s="7" t="n">
        <v>400</v>
      </c>
      <c r="H28" s="7" t="n">
        <v>25</v>
      </c>
      <c r="I28" s="7" t="n">
        <v>90</v>
      </c>
      <c r="J28" s="8" t="n">
        <f aca="false">ROUND(I28*1.15,0)</f>
        <v>104</v>
      </c>
      <c r="K28" s="8" t="n">
        <f aca="false">ROUND(I28*1.1,0)</f>
        <v>99</v>
      </c>
      <c r="L28" s="8" t="n">
        <f aca="false">ROUND((F28+G28)/2-J28,0)</f>
        <v>146</v>
      </c>
      <c r="M28" s="5" t="s">
        <v>62</v>
      </c>
    </row>
    <row r="29" customFormat="false" ht="15" hidden="false" customHeight="true" outlineLevel="0" collapsed="false">
      <c r="A29" s="3" t="s">
        <v>13</v>
      </c>
      <c r="B29" s="4" t="n">
        <v>85</v>
      </c>
      <c r="C29" s="5" t="s">
        <v>63</v>
      </c>
      <c r="D29" s="4" t="s">
        <v>59</v>
      </c>
      <c r="E29" s="6" t="s">
        <v>16</v>
      </c>
      <c r="F29" s="7" t="n">
        <v>100</v>
      </c>
      <c r="G29" s="7" t="n">
        <v>300</v>
      </c>
      <c r="H29" s="7" t="n">
        <v>20</v>
      </c>
      <c r="I29" s="7" t="n">
        <v>75</v>
      </c>
      <c r="J29" s="8" t="n">
        <f aca="false">ROUND(I29*1.15,0)</f>
        <v>86</v>
      </c>
      <c r="K29" s="8" t="n">
        <f aca="false">ROUND(I29*1.1,0)</f>
        <v>83</v>
      </c>
      <c r="L29" s="8" t="n">
        <f aca="false">ROUND((F29+G29)/2-J29,0)</f>
        <v>114</v>
      </c>
      <c r="M29" s="5" t="s">
        <v>64</v>
      </c>
    </row>
    <row r="30" customFormat="false" ht="15" hidden="false" customHeight="true" outlineLevel="0" collapsed="false">
      <c r="A30" s="3" t="s">
        <v>13</v>
      </c>
      <c r="B30" s="4" t="n">
        <v>86</v>
      </c>
      <c r="C30" s="5" t="s">
        <v>65</v>
      </c>
      <c r="D30" s="4" t="s">
        <v>59</v>
      </c>
      <c r="E30" s="6" t="s">
        <v>16</v>
      </c>
      <c r="F30" s="7" t="n">
        <v>100</v>
      </c>
      <c r="G30" s="7" t="n">
        <v>300</v>
      </c>
      <c r="H30" s="7" t="n">
        <v>20</v>
      </c>
      <c r="I30" s="7" t="n">
        <v>75</v>
      </c>
      <c r="J30" s="8" t="n">
        <f aca="false">ROUND(I30*1.15,0)</f>
        <v>86</v>
      </c>
      <c r="K30" s="8" t="n">
        <f aca="false">ROUND(I30*1.1,0)</f>
        <v>83</v>
      </c>
      <c r="L30" s="8" t="n">
        <f aca="false">ROUND((F30+G30)/2-J30,0)</f>
        <v>114</v>
      </c>
      <c r="M30" s="5" t="s">
        <v>30</v>
      </c>
    </row>
    <row r="31" customFormat="false" ht="15" hidden="false" customHeight="true" outlineLevel="0" collapsed="false">
      <c r="A31" s="10" t="s">
        <v>43</v>
      </c>
      <c r="B31" s="4" t="n">
        <v>192</v>
      </c>
      <c r="C31" s="5" t="s">
        <v>66</v>
      </c>
      <c r="D31" s="4" t="s">
        <v>47</v>
      </c>
      <c r="E31" s="6" t="s">
        <v>16</v>
      </c>
      <c r="F31" s="7" t="n">
        <v>40</v>
      </c>
      <c r="G31" s="7" t="n">
        <v>100</v>
      </c>
      <c r="H31" s="7" t="n">
        <v>10</v>
      </c>
      <c r="I31" s="7" t="n">
        <v>30</v>
      </c>
      <c r="J31" s="8" t="n">
        <f aca="false">ROUND(I31*1.15,0)</f>
        <v>35</v>
      </c>
      <c r="K31" s="8" t="n">
        <f aca="false">ROUND(I31*1.1,0)</f>
        <v>33</v>
      </c>
      <c r="L31" s="8" t="n">
        <f aca="false">ROUND((F31+G31)/2-J31,0)</f>
        <v>35</v>
      </c>
      <c r="M31" s="5" t="s">
        <v>30</v>
      </c>
    </row>
    <row r="32" customFormat="false" ht="15" hidden="false" customHeight="true" outlineLevel="0" collapsed="false">
      <c r="A32" s="10" t="s">
        <v>43</v>
      </c>
      <c r="B32" s="4" t="n">
        <v>193</v>
      </c>
      <c r="C32" s="5" t="s">
        <v>67</v>
      </c>
      <c r="D32" s="4" t="s">
        <v>59</v>
      </c>
      <c r="E32" s="6" t="s">
        <v>16</v>
      </c>
      <c r="F32" s="7" t="n">
        <v>40</v>
      </c>
      <c r="G32" s="7" t="n">
        <v>120</v>
      </c>
      <c r="H32" s="7" t="n">
        <v>10</v>
      </c>
      <c r="I32" s="7" t="n">
        <v>35</v>
      </c>
      <c r="J32" s="8" t="n">
        <f aca="false">ROUND(I32*1.15,0)</f>
        <v>40</v>
      </c>
      <c r="K32" s="8" t="n">
        <f aca="false">ROUND(I32*1.1,0)</f>
        <v>39</v>
      </c>
      <c r="L32" s="8" t="n">
        <f aca="false">ROUND((F32+G32)/2-J32,0)</f>
        <v>40</v>
      </c>
      <c r="M32" s="5" t="s">
        <v>30</v>
      </c>
    </row>
    <row r="33" customFormat="false" ht="15" hidden="false" customHeight="true" outlineLevel="0" collapsed="false">
      <c r="A33" s="10" t="s">
        <v>43</v>
      </c>
      <c r="B33" s="4" t="n">
        <v>199</v>
      </c>
      <c r="C33" s="5" t="s">
        <v>68</v>
      </c>
      <c r="D33" s="4" t="s">
        <v>47</v>
      </c>
      <c r="E33" s="6" t="s">
        <v>16</v>
      </c>
      <c r="F33" s="7" t="n">
        <v>40</v>
      </c>
      <c r="G33" s="7" t="n">
        <v>120</v>
      </c>
      <c r="H33" s="7" t="n">
        <v>10</v>
      </c>
      <c r="I33" s="7" t="n">
        <v>35</v>
      </c>
      <c r="J33" s="8" t="n">
        <f aca="false">ROUND(I33*1.15,0)</f>
        <v>40</v>
      </c>
      <c r="K33" s="8" t="n">
        <f aca="false">ROUND(I33*1.1,0)</f>
        <v>39</v>
      </c>
      <c r="L33" s="8" t="n">
        <f aca="false">ROUND((F33+G33)/2-J33,0)</f>
        <v>40</v>
      </c>
      <c r="M33" s="5" t="s">
        <v>30</v>
      </c>
    </row>
    <row r="34" customFormat="false" ht="15" hidden="false" customHeight="true" outlineLevel="0" collapsed="false">
      <c r="A34" s="10" t="s">
        <v>43</v>
      </c>
      <c r="B34" s="4" t="n">
        <v>203</v>
      </c>
      <c r="C34" s="5" t="s">
        <v>69</v>
      </c>
      <c r="D34" s="4" t="s">
        <v>47</v>
      </c>
      <c r="E34" s="6" t="s">
        <v>16</v>
      </c>
      <c r="F34" s="7" t="n">
        <v>40</v>
      </c>
      <c r="G34" s="7" t="n">
        <v>100</v>
      </c>
      <c r="H34" s="7" t="n">
        <v>10</v>
      </c>
      <c r="I34" s="7" t="n">
        <v>30</v>
      </c>
      <c r="J34" s="8" t="n">
        <f aca="false">ROUND(I34*1.15,0)</f>
        <v>35</v>
      </c>
      <c r="K34" s="8" t="n">
        <f aca="false">ROUND(I34*1.1,0)</f>
        <v>33</v>
      </c>
      <c r="L34" s="8" t="n">
        <f aca="false">ROUND((F34+G34)/2-J34,0)</f>
        <v>35</v>
      </c>
      <c r="M34" s="5"/>
    </row>
    <row r="35" customFormat="false" ht="15" hidden="false" customHeight="true" outlineLevel="0" collapsed="false">
      <c r="A35" s="10" t="s">
        <v>43</v>
      </c>
      <c r="B35" s="4" t="n">
        <v>158</v>
      </c>
      <c r="C35" s="5" t="s">
        <v>70</v>
      </c>
      <c r="D35" s="4" t="s">
        <v>47</v>
      </c>
      <c r="E35" s="6" t="s">
        <v>16</v>
      </c>
      <c r="F35" s="7" t="n">
        <v>75</v>
      </c>
      <c r="G35" s="7" t="n">
        <v>150</v>
      </c>
      <c r="H35" s="7" t="n">
        <v>15</v>
      </c>
      <c r="I35" s="7" t="n">
        <v>50</v>
      </c>
      <c r="J35" s="8" t="n">
        <f aca="false">ROUND(I35*1.15,0)</f>
        <v>58</v>
      </c>
      <c r="K35" s="8" t="n">
        <f aca="false">ROUND(I35*1.1,0)</f>
        <v>55</v>
      </c>
      <c r="L35" s="8" t="n">
        <f aca="false">ROUND((F35+G35)/2-J35,0)</f>
        <v>55</v>
      </c>
      <c r="M35" s="5"/>
    </row>
    <row r="36" customFormat="false" ht="15" hidden="false" customHeight="true" outlineLevel="0" collapsed="false">
      <c r="A36" s="9" t="s">
        <v>31</v>
      </c>
      <c r="B36" s="4" t="n">
        <v>168</v>
      </c>
      <c r="C36" s="5" t="s">
        <v>71</v>
      </c>
      <c r="D36" s="4" t="s">
        <v>47</v>
      </c>
      <c r="E36" s="6" t="s">
        <v>16</v>
      </c>
      <c r="F36" s="7" t="n">
        <v>100</v>
      </c>
      <c r="G36" s="7" t="n">
        <v>250</v>
      </c>
      <c r="H36" s="7" t="n">
        <v>20</v>
      </c>
      <c r="I36" s="7" t="n">
        <v>75</v>
      </c>
      <c r="J36" s="8" t="n">
        <f aca="false">ROUND(I36*1.15,0)</f>
        <v>86</v>
      </c>
      <c r="K36" s="8" t="n">
        <f aca="false">ROUND(I36*1.1,0)</f>
        <v>83</v>
      </c>
      <c r="L36" s="8" t="n">
        <f aca="false">ROUND((F36+G36)/2-J36,0)</f>
        <v>89</v>
      </c>
      <c r="M36" s="5"/>
    </row>
    <row r="37" customFormat="false" ht="15" hidden="false" customHeight="true" outlineLevel="0" collapsed="false">
      <c r="A37" s="9" t="s">
        <v>31</v>
      </c>
      <c r="B37" s="4" t="n">
        <v>227</v>
      </c>
      <c r="C37" s="5" t="s">
        <v>72</v>
      </c>
      <c r="D37" s="4" t="s">
        <v>59</v>
      </c>
      <c r="E37" s="6" t="s">
        <v>16</v>
      </c>
      <c r="F37" s="7" t="n">
        <v>75</v>
      </c>
      <c r="G37" s="7" t="n">
        <v>200</v>
      </c>
      <c r="H37" s="7" t="n">
        <v>15</v>
      </c>
      <c r="I37" s="7" t="n">
        <v>60</v>
      </c>
      <c r="J37" s="8" t="n">
        <f aca="false">ROUND(I37*1.15,0)</f>
        <v>69</v>
      </c>
      <c r="K37" s="8" t="n">
        <f aca="false">ROUND(I37*1.1,0)</f>
        <v>66</v>
      </c>
      <c r="L37" s="8" t="n">
        <f aca="false">ROUND((F37+G37)/2-J37,0)</f>
        <v>69</v>
      </c>
      <c r="M37" s="5"/>
    </row>
    <row r="38" customFormat="false" ht="15" hidden="false" customHeight="true" outlineLevel="0" collapsed="false">
      <c r="A38" s="9" t="s">
        <v>31</v>
      </c>
      <c r="B38" s="4" t="n">
        <v>139</v>
      </c>
      <c r="C38" s="5" t="s">
        <v>73</v>
      </c>
      <c r="D38" s="4" t="s">
        <v>59</v>
      </c>
      <c r="E38" s="6" t="s">
        <v>16</v>
      </c>
      <c r="F38" s="7" t="n">
        <v>75</v>
      </c>
      <c r="G38" s="7" t="n">
        <v>200</v>
      </c>
      <c r="H38" s="7" t="n">
        <v>15</v>
      </c>
      <c r="I38" s="7" t="n">
        <v>60</v>
      </c>
      <c r="J38" s="8" t="n">
        <f aca="false">ROUND(I38*1.15,0)</f>
        <v>69</v>
      </c>
      <c r="K38" s="8" t="n">
        <f aca="false">ROUND(I38*1.1,0)</f>
        <v>66</v>
      </c>
      <c r="L38" s="8" t="n">
        <f aca="false">ROUND((F38+G38)/2-J38,0)</f>
        <v>69</v>
      </c>
      <c r="M38" s="5"/>
    </row>
    <row r="39" customFormat="false" ht="15" hidden="false" customHeight="true" outlineLevel="0" collapsed="false">
      <c r="A39" s="9" t="s">
        <v>31</v>
      </c>
      <c r="B39" s="4" t="n">
        <v>84</v>
      </c>
      <c r="C39" s="5" t="s">
        <v>74</v>
      </c>
      <c r="D39" s="4" t="s">
        <v>59</v>
      </c>
      <c r="E39" s="6" t="s">
        <v>16</v>
      </c>
      <c r="F39" s="7" t="n">
        <v>75</v>
      </c>
      <c r="G39" s="7" t="n">
        <v>200</v>
      </c>
      <c r="H39" s="7" t="n">
        <v>15</v>
      </c>
      <c r="I39" s="7" t="n">
        <v>60</v>
      </c>
      <c r="J39" s="8" t="n">
        <f aca="false">ROUND(I39*1.15,0)</f>
        <v>69</v>
      </c>
      <c r="K39" s="8" t="n">
        <f aca="false">ROUND(I39*1.1,0)</f>
        <v>66</v>
      </c>
      <c r="L39" s="8" t="n">
        <f aca="false">ROUND((F39+G39)/2-J39,0)</f>
        <v>69</v>
      </c>
      <c r="M39" s="5"/>
    </row>
    <row r="40" customFormat="false" ht="15" hidden="false" customHeight="true" outlineLevel="0" collapsed="false">
      <c r="A40" s="9" t="s">
        <v>31</v>
      </c>
      <c r="B40" s="4" t="n">
        <v>350</v>
      </c>
      <c r="C40" s="5" t="s">
        <v>75</v>
      </c>
      <c r="D40" s="4" t="s">
        <v>47</v>
      </c>
      <c r="E40" s="6" t="s">
        <v>16</v>
      </c>
      <c r="F40" s="7" t="n">
        <v>75</v>
      </c>
      <c r="G40" s="7" t="n">
        <v>250</v>
      </c>
      <c r="H40" s="7" t="n">
        <v>20</v>
      </c>
      <c r="I40" s="7" t="n">
        <v>60</v>
      </c>
      <c r="J40" s="8" t="n">
        <f aca="false">ROUND(I40*1.15,0)</f>
        <v>69</v>
      </c>
      <c r="K40" s="8" t="n">
        <f aca="false">ROUND(I40*1.1,0)</f>
        <v>66</v>
      </c>
      <c r="L40" s="8" t="n">
        <f aca="false">ROUND((F40+G40)/2-J40,0)</f>
        <v>94</v>
      </c>
      <c r="M40" s="5" t="s">
        <v>76</v>
      </c>
    </row>
    <row r="41" customFormat="false" ht="15" hidden="false" customHeight="true" outlineLevel="0" collapsed="false">
      <c r="A41" s="9" t="s">
        <v>31</v>
      </c>
      <c r="B41" s="4" t="n">
        <v>352</v>
      </c>
      <c r="C41" s="5" t="s">
        <v>77</v>
      </c>
      <c r="D41" s="4" t="s">
        <v>47</v>
      </c>
      <c r="E41" s="6" t="s">
        <v>16</v>
      </c>
      <c r="F41" s="7" t="n">
        <v>75</v>
      </c>
      <c r="G41" s="7" t="n">
        <v>250</v>
      </c>
      <c r="H41" s="7" t="n">
        <v>20</v>
      </c>
      <c r="I41" s="7" t="n">
        <v>60</v>
      </c>
      <c r="J41" s="8" t="n">
        <f aca="false">ROUND(I41*1.15,0)</f>
        <v>69</v>
      </c>
      <c r="K41" s="8" t="n">
        <f aca="false">ROUND(I41*1.1,0)</f>
        <v>66</v>
      </c>
      <c r="L41" s="8" t="n">
        <f aca="false">ROUND((F41+G41)/2-J41,0)</f>
        <v>94</v>
      </c>
      <c r="M41" s="5" t="s">
        <v>30</v>
      </c>
    </row>
    <row r="42" customFormat="false" ht="15" hidden="false" customHeight="true" outlineLevel="0" collapsed="false">
      <c r="A42" s="10" t="s">
        <v>43</v>
      </c>
      <c r="B42" s="4" t="n">
        <v>257</v>
      </c>
      <c r="C42" s="5" t="s">
        <v>78</v>
      </c>
      <c r="D42" s="4" t="s">
        <v>47</v>
      </c>
      <c r="E42" s="6" t="s">
        <v>16</v>
      </c>
      <c r="F42" s="7" t="n">
        <v>20</v>
      </c>
      <c r="G42" s="7" t="n">
        <v>80</v>
      </c>
      <c r="H42" s="7" t="n">
        <v>5</v>
      </c>
      <c r="I42" s="7" t="n">
        <v>25</v>
      </c>
      <c r="J42" s="8" t="n">
        <f aca="false">ROUND(I42*1.15,0)</f>
        <v>29</v>
      </c>
      <c r="K42" s="8" t="n">
        <f aca="false">ROUND(I42*1.1,0)</f>
        <v>28</v>
      </c>
      <c r="L42" s="8" t="n">
        <f aca="false">ROUND((F42+G42)/2-J42,0)</f>
        <v>21</v>
      </c>
      <c r="M42" s="5" t="s">
        <v>79</v>
      </c>
    </row>
    <row r="43" customFormat="false" ht="15" hidden="false" customHeight="true" outlineLevel="0" collapsed="false">
      <c r="A43" s="3" t="s">
        <v>13</v>
      </c>
      <c r="B43" s="4" t="n">
        <v>4</v>
      </c>
      <c r="C43" s="5" t="s">
        <v>80</v>
      </c>
      <c r="D43" s="4" t="s">
        <v>81</v>
      </c>
      <c r="E43" s="6" t="s">
        <v>16</v>
      </c>
      <c r="F43" s="7" t="n">
        <v>100</v>
      </c>
      <c r="G43" s="7" t="n">
        <v>350</v>
      </c>
      <c r="H43" s="7" t="n">
        <v>25</v>
      </c>
      <c r="I43" s="7" t="n">
        <v>90</v>
      </c>
      <c r="J43" s="8" t="n">
        <f aca="false">ROUND(I43*1.15,0)</f>
        <v>104</v>
      </c>
      <c r="K43" s="8" t="n">
        <f aca="false">ROUND(I43*1.1,0)</f>
        <v>99</v>
      </c>
      <c r="L43" s="8" t="n">
        <f aca="false">ROUND((F43+G43)/2-J43,0)</f>
        <v>121</v>
      </c>
      <c r="M43" s="5" t="s">
        <v>82</v>
      </c>
    </row>
    <row r="44" customFormat="false" ht="15" hidden="false" customHeight="true" outlineLevel="0" collapsed="false">
      <c r="A44" s="3" t="s">
        <v>13</v>
      </c>
      <c r="B44" s="4" t="n">
        <v>25</v>
      </c>
      <c r="C44" s="5" t="s">
        <v>83</v>
      </c>
      <c r="D44" s="4" t="s">
        <v>81</v>
      </c>
      <c r="E44" s="6" t="s">
        <v>16</v>
      </c>
      <c r="F44" s="7" t="n">
        <v>75</v>
      </c>
      <c r="G44" s="7" t="n">
        <v>350</v>
      </c>
      <c r="H44" s="7" t="n">
        <v>25</v>
      </c>
      <c r="I44" s="7" t="n">
        <v>90</v>
      </c>
      <c r="J44" s="8" t="n">
        <f aca="false">ROUND(I44*1.15,0)</f>
        <v>104</v>
      </c>
      <c r="K44" s="8" t="n">
        <f aca="false">ROUND(I44*1.1,0)</f>
        <v>99</v>
      </c>
      <c r="L44" s="8" t="n">
        <f aca="false">ROUND((F44+G44)/2-J44,0)</f>
        <v>109</v>
      </c>
      <c r="M44" s="5" t="s">
        <v>84</v>
      </c>
    </row>
    <row r="45" customFormat="false" ht="23.25" hidden="false" customHeight="true" outlineLevel="0" collapsed="false">
      <c r="A45" s="3" t="s">
        <v>13</v>
      </c>
      <c r="B45" s="4" t="n">
        <v>24</v>
      </c>
      <c r="C45" s="5" t="s">
        <v>85</v>
      </c>
      <c r="D45" s="4" t="s">
        <v>81</v>
      </c>
      <c r="E45" s="6" t="s">
        <v>16</v>
      </c>
      <c r="F45" s="7" t="n">
        <v>75</v>
      </c>
      <c r="G45" s="7" t="n">
        <v>350</v>
      </c>
      <c r="H45" s="7" t="n">
        <v>25</v>
      </c>
      <c r="I45" s="7" t="n">
        <v>90</v>
      </c>
      <c r="J45" s="8" t="n">
        <f aca="false">ROUND(I45*1.15,0)</f>
        <v>104</v>
      </c>
      <c r="K45" s="8" t="n">
        <f aca="false">ROUND(I45*1.1,0)</f>
        <v>99</v>
      </c>
      <c r="L45" s="8" t="n">
        <f aca="false">ROUND((F45+G45)/2-J45,0)</f>
        <v>109</v>
      </c>
      <c r="M45" s="5" t="s">
        <v>86</v>
      </c>
    </row>
    <row r="46" customFormat="false" ht="15" hidden="false" customHeight="true" outlineLevel="0" collapsed="false">
      <c r="A46" s="9" t="s">
        <v>31</v>
      </c>
      <c r="B46" s="4" t="n">
        <v>183</v>
      </c>
      <c r="C46" s="5" t="s">
        <v>87</v>
      </c>
      <c r="D46" s="4" t="s">
        <v>81</v>
      </c>
      <c r="E46" s="6" t="s">
        <v>16</v>
      </c>
      <c r="F46" s="7" t="n">
        <v>25</v>
      </c>
      <c r="G46" s="7" t="n">
        <v>150</v>
      </c>
      <c r="H46" s="7" t="n">
        <v>10</v>
      </c>
      <c r="I46" s="7" t="n">
        <v>50</v>
      </c>
      <c r="J46" s="8" t="n">
        <f aca="false">ROUND(I46*1.15,0)</f>
        <v>58</v>
      </c>
      <c r="K46" s="8" t="n">
        <f aca="false">ROUND(I46*1.1,0)</f>
        <v>55</v>
      </c>
      <c r="L46" s="8" t="n">
        <f aca="false">ROUND((F46+G46)/2-J46,0)</f>
        <v>30</v>
      </c>
      <c r="M46" s="5" t="s">
        <v>88</v>
      </c>
    </row>
    <row r="47" customFormat="false" ht="15" hidden="false" customHeight="true" outlineLevel="0" collapsed="false">
      <c r="A47" s="9" t="s">
        <v>31</v>
      </c>
      <c r="B47" s="4" t="n">
        <v>184</v>
      </c>
      <c r="C47" s="5" t="s">
        <v>89</v>
      </c>
      <c r="D47" s="4" t="s">
        <v>81</v>
      </c>
      <c r="E47" s="6" t="s">
        <v>16</v>
      </c>
      <c r="F47" s="7" t="n">
        <v>25</v>
      </c>
      <c r="G47" s="7" t="n">
        <v>150</v>
      </c>
      <c r="H47" s="7" t="n">
        <v>10</v>
      </c>
      <c r="I47" s="7" t="n">
        <v>50</v>
      </c>
      <c r="J47" s="8" t="n">
        <f aca="false">ROUND(I47*1.15,0)</f>
        <v>58</v>
      </c>
      <c r="K47" s="8" t="n">
        <f aca="false">ROUND(I47*1.1,0)</f>
        <v>55</v>
      </c>
      <c r="L47" s="8" t="n">
        <f aca="false">ROUND((F47+G47)/2-J47,0)</f>
        <v>30</v>
      </c>
      <c r="M47" s="5" t="s">
        <v>90</v>
      </c>
    </row>
    <row r="48" customFormat="false" ht="15" hidden="false" customHeight="true" outlineLevel="0" collapsed="false">
      <c r="A48" s="10" t="s">
        <v>43</v>
      </c>
      <c r="B48" s="4" t="n">
        <v>353</v>
      </c>
      <c r="C48" s="5" t="s">
        <v>91</v>
      </c>
      <c r="D48" s="4" t="s">
        <v>81</v>
      </c>
      <c r="E48" s="6" t="s">
        <v>16</v>
      </c>
      <c r="F48" s="7" t="n">
        <v>20</v>
      </c>
      <c r="G48" s="7" t="n">
        <v>60</v>
      </c>
      <c r="H48" s="7" t="n">
        <v>5</v>
      </c>
      <c r="I48" s="7" t="n">
        <v>20</v>
      </c>
      <c r="J48" s="8" t="n">
        <f aca="false">ROUND(I48*1.15,0)</f>
        <v>23</v>
      </c>
      <c r="K48" s="8" t="n">
        <f aca="false">ROUND(I48*1.1,0)</f>
        <v>22</v>
      </c>
      <c r="L48" s="8" t="n">
        <f aca="false">ROUND((F48+G48)/2-J48,0)</f>
        <v>17</v>
      </c>
      <c r="M48" s="5" t="s">
        <v>92</v>
      </c>
    </row>
    <row r="49" customFormat="false" ht="15" hidden="false" customHeight="true" outlineLevel="0" collapsed="false">
      <c r="A49" s="3" t="s">
        <v>13</v>
      </c>
      <c r="B49" s="4" t="n">
        <v>40</v>
      </c>
      <c r="C49" s="5" t="s">
        <v>93</v>
      </c>
      <c r="D49" s="4" t="s">
        <v>94</v>
      </c>
      <c r="E49" s="6" t="s">
        <v>16</v>
      </c>
      <c r="F49" s="7" t="n">
        <v>100</v>
      </c>
      <c r="G49" s="7" t="n">
        <v>250</v>
      </c>
      <c r="H49" s="7" t="n">
        <v>25</v>
      </c>
      <c r="I49" s="7" t="n">
        <v>80</v>
      </c>
      <c r="J49" s="8" t="n">
        <f aca="false">ROUND(I49*1.15,0)</f>
        <v>92</v>
      </c>
      <c r="K49" s="8" t="n">
        <f aca="false">ROUND(I49*1.1,0)</f>
        <v>88</v>
      </c>
      <c r="L49" s="8" t="n">
        <f aca="false">ROUND((F49+G49)/2-J49,0)</f>
        <v>83</v>
      </c>
      <c r="M49" s="5" t="s">
        <v>95</v>
      </c>
    </row>
    <row r="50" customFormat="false" ht="15" hidden="false" customHeight="true" outlineLevel="0" collapsed="false">
      <c r="A50" s="10" t="s">
        <v>43</v>
      </c>
      <c r="B50" s="4" t="n">
        <v>39</v>
      </c>
      <c r="C50" s="5" t="s">
        <v>96</v>
      </c>
      <c r="D50" s="4" t="s">
        <v>94</v>
      </c>
      <c r="E50" s="6" t="s">
        <v>16</v>
      </c>
      <c r="F50" s="7" t="n">
        <v>30</v>
      </c>
      <c r="G50" s="7" t="n">
        <v>100</v>
      </c>
      <c r="H50" s="7" t="n">
        <v>10</v>
      </c>
      <c r="I50" s="7" t="n">
        <v>30</v>
      </c>
      <c r="J50" s="8" t="n">
        <f aca="false">ROUND(I50*1.15,0)</f>
        <v>35</v>
      </c>
      <c r="K50" s="8" t="n">
        <f aca="false">ROUND(I50*1.1,0)</f>
        <v>33</v>
      </c>
      <c r="L50" s="8" t="n">
        <f aca="false">ROUND((F50+G50)/2-J50,0)</f>
        <v>30</v>
      </c>
      <c r="M50" s="5" t="s">
        <v>30</v>
      </c>
    </row>
    <row r="51" customFormat="false" ht="15" hidden="false" customHeight="true" outlineLevel="0" collapsed="false">
      <c r="A51" s="9" t="s">
        <v>31</v>
      </c>
      <c r="B51" s="4" t="n">
        <v>57</v>
      </c>
      <c r="C51" s="5" t="s">
        <v>97</v>
      </c>
      <c r="D51" s="4" t="s">
        <v>98</v>
      </c>
      <c r="E51" s="6" t="s">
        <v>16</v>
      </c>
      <c r="F51" s="7" t="n">
        <v>75</v>
      </c>
      <c r="G51" s="7" t="n">
        <v>200</v>
      </c>
      <c r="H51" s="7" t="n">
        <v>15</v>
      </c>
      <c r="I51" s="7" t="n">
        <v>60</v>
      </c>
      <c r="J51" s="8" t="n">
        <f aca="false">ROUND(I51*1.15,0)</f>
        <v>69</v>
      </c>
      <c r="K51" s="8" t="n">
        <f aca="false">ROUND(I51*1.1,0)</f>
        <v>66</v>
      </c>
      <c r="L51" s="8" t="n">
        <f aca="false">ROUND((F51+G51)/2-J51,0)</f>
        <v>69</v>
      </c>
      <c r="M51" s="5" t="s">
        <v>99</v>
      </c>
    </row>
    <row r="52" customFormat="false" ht="15" hidden="false" customHeight="true" outlineLevel="0" collapsed="false">
      <c r="A52" s="9" t="s">
        <v>31</v>
      </c>
      <c r="B52" s="4" t="n">
        <v>37</v>
      </c>
      <c r="C52" s="5" t="s">
        <v>100</v>
      </c>
      <c r="D52" s="4" t="s">
        <v>101</v>
      </c>
      <c r="E52" s="6" t="s">
        <v>16</v>
      </c>
      <c r="F52" s="7" t="n">
        <v>75</v>
      </c>
      <c r="G52" s="7" t="n">
        <v>200</v>
      </c>
      <c r="H52" s="7" t="n">
        <v>15</v>
      </c>
      <c r="I52" s="7" t="n">
        <v>60</v>
      </c>
      <c r="J52" s="8" t="n">
        <f aca="false">ROUND(I52*1.15,0)</f>
        <v>69</v>
      </c>
      <c r="K52" s="8" t="n">
        <f aca="false">ROUND(I52*1.1,0)</f>
        <v>66</v>
      </c>
      <c r="L52" s="8" t="n">
        <f aca="false">ROUND((F52+G52)/2-J52,0)</f>
        <v>69</v>
      </c>
      <c r="M52" s="5" t="s">
        <v>102</v>
      </c>
    </row>
    <row r="53" customFormat="false" ht="15" hidden="false" customHeight="true" outlineLevel="0" collapsed="false">
      <c r="A53" s="9" t="s">
        <v>31</v>
      </c>
      <c r="B53" s="4" t="n">
        <v>76</v>
      </c>
      <c r="C53" s="5" t="s">
        <v>103</v>
      </c>
      <c r="D53" s="4" t="s">
        <v>15</v>
      </c>
      <c r="E53" s="6" t="s">
        <v>16</v>
      </c>
      <c r="F53" s="7" t="n">
        <v>75</v>
      </c>
      <c r="G53" s="7" t="n">
        <v>150</v>
      </c>
      <c r="H53" s="7" t="n">
        <v>15</v>
      </c>
      <c r="I53" s="7" t="n">
        <v>50</v>
      </c>
      <c r="J53" s="8" t="n">
        <f aca="false">ROUND(I53*1.15,0)</f>
        <v>58</v>
      </c>
      <c r="K53" s="8" t="n">
        <f aca="false">ROUND(I53*1.1,0)</f>
        <v>55</v>
      </c>
      <c r="L53" s="8" t="n">
        <f aca="false">ROUND((F53+G53)/2-J53,0)</f>
        <v>55</v>
      </c>
      <c r="M53" s="5" t="s">
        <v>104</v>
      </c>
    </row>
    <row r="54" customFormat="false" ht="15" hidden="false" customHeight="true" outlineLevel="0" collapsed="false">
      <c r="A54" s="9" t="s">
        <v>31</v>
      </c>
      <c r="B54" s="4" t="n">
        <v>146</v>
      </c>
      <c r="C54" s="5" t="s">
        <v>105</v>
      </c>
      <c r="D54" s="4" t="s">
        <v>101</v>
      </c>
      <c r="E54" s="6" t="s">
        <v>16</v>
      </c>
      <c r="F54" s="7" t="n">
        <v>150</v>
      </c>
      <c r="G54" s="7" t="n">
        <v>400</v>
      </c>
      <c r="H54" s="7" t="n">
        <v>30</v>
      </c>
      <c r="I54" s="7" t="n">
        <v>100</v>
      </c>
      <c r="J54" s="8" t="n">
        <f aca="false">ROUND(I54*1.15,0)</f>
        <v>115</v>
      </c>
      <c r="K54" s="8" t="n">
        <f aca="false">ROUND(I54*1.1,0)</f>
        <v>110</v>
      </c>
      <c r="L54" s="8" t="n">
        <f aca="false">ROUND((F54+G54)/2-J54,0)</f>
        <v>160</v>
      </c>
      <c r="M54" s="5" t="s">
        <v>106</v>
      </c>
    </row>
    <row r="55" customFormat="false" ht="15" hidden="false" customHeight="true" outlineLevel="0" collapsed="false">
      <c r="A55" s="9" t="s">
        <v>31</v>
      </c>
      <c r="B55" s="4" t="n">
        <v>53</v>
      </c>
      <c r="C55" s="5" t="s">
        <v>107</v>
      </c>
      <c r="D55" s="4" t="s">
        <v>108</v>
      </c>
      <c r="E55" s="6" t="s">
        <v>16</v>
      </c>
      <c r="F55" s="7" t="n">
        <v>75</v>
      </c>
      <c r="G55" s="7" t="n">
        <v>250</v>
      </c>
      <c r="H55" s="7" t="n">
        <v>15</v>
      </c>
      <c r="I55" s="7" t="n">
        <v>60</v>
      </c>
      <c r="J55" s="8" t="n">
        <f aca="false">ROUND(I55*1.15,0)</f>
        <v>69</v>
      </c>
      <c r="K55" s="8" t="n">
        <f aca="false">ROUND(I55*1.1,0)</f>
        <v>66</v>
      </c>
      <c r="L55" s="8" t="n">
        <f aca="false">ROUND((F55+G55)/2-J55,0)</f>
        <v>94</v>
      </c>
      <c r="M55" s="5" t="s">
        <v>109</v>
      </c>
    </row>
    <row r="56" customFormat="false" ht="15" hidden="false" customHeight="true" outlineLevel="0" collapsed="false">
      <c r="A56" s="10" t="s">
        <v>43</v>
      </c>
      <c r="B56" s="4" t="n">
        <v>150</v>
      </c>
      <c r="C56" s="5" t="s">
        <v>110</v>
      </c>
      <c r="D56" s="4" t="s">
        <v>108</v>
      </c>
      <c r="E56" s="6" t="s">
        <v>16</v>
      </c>
      <c r="F56" s="7" t="n">
        <v>50</v>
      </c>
      <c r="G56" s="7" t="n">
        <v>150</v>
      </c>
      <c r="H56" s="7" t="n">
        <v>10</v>
      </c>
      <c r="I56" s="7" t="n">
        <v>40</v>
      </c>
      <c r="J56" s="8" t="n">
        <f aca="false">ROUND(I56*1.15,0)</f>
        <v>46</v>
      </c>
      <c r="K56" s="8" t="n">
        <f aca="false">ROUND(I56*1.1,0)</f>
        <v>44</v>
      </c>
      <c r="L56" s="8" t="n">
        <f aca="false">ROUND((F56+G56)/2-J56,0)</f>
        <v>54</v>
      </c>
      <c r="M56" s="5"/>
    </row>
    <row r="57" customFormat="false" ht="15" hidden="false" customHeight="true" outlineLevel="0" collapsed="false">
      <c r="A57" s="9" t="s">
        <v>31</v>
      </c>
      <c r="B57" s="4" t="n">
        <v>50</v>
      </c>
      <c r="C57" s="5" t="s">
        <v>111</v>
      </c>
      <c r="D57" s="4" t="s">
        <v>101</v>
      </c>
      <c r="E57" s="6" t="s">
        <v>16</v>
      </c>
      <c r="F57" s="7" t="n">
        <v>75</v>
      </c>
      <c r="G57" s="7" t="n">
        <v>150</v>
      </c>
      <c r="H57" s="7" t="n">
        <v>15</v>
      </c>
      <c r="I57" s="7" t="n">
        <v>50</v>
      </c>
      <c r="J57" s="8" t="n">
        <f aca="false">ROUND(I57*1.15,0)</f>
        <v>58</v>
      </c>
      <c r="K57" s="8" t="n">
        <f aca="false">ROUND(I57*1.1,0)</f>
        <v>55</v>
      </c>
      <c r="L57" s="8" t="n">
        <f aca="false">ROUND((F57+G57)/2-J57,0)</f>
        <v>55</v>
      </c>
      <c r="M57" s="5"/>
    </row>
    <row r="58" customFormat="false" ht="15" hidden="false" customHeight="true" outlineLevel="0" collapsed="false">
      <c r="A58" s="9" t="s">
        <v>31</v>
      </c>
      <c r="B58" s="4" t="n">
        <v>51</v>
      </c>
      <c r="C58" s="5" t="s">
        <v>112</v>
      </c>
      <c r="D58" s="4" t="s">
        <v>113</v>
      </c>
      <c r="E58" s="6" t="s">
        <v>16</v>
      </c>
      <c r="F58" s="7" t="n">
        <v>75</v>
      </c>
      <c r="G58" s="7" t="n">
        <v>200</v>
      </c>
      <c r="H58" s="7" t="n">
        <v>15</v>
      </c>
      <c r="I58" s="7" t="n">
        <v>60</v>
      </c>
      <c r="J58" s="8" t="n">
        <f aca="false">ROUND(I58*1.15,0)</f>
        <v>69</v>
      </c>
      <c r="K58" s="8" t="n">
        <f aca="false">ROUND(I58*1.1,0)</f>
        <v>66</v>
      </c>
      <c r="L58" s="8" t="n">
        <f aca="false">ROUND((F58+G58)/2-J58,0)</f>
        <v>69</v>
      </c>
      <c r="M58" s="5" t="s">
        <v>114</v>
      </c>
    </row>
    <row r="59" customFormat="false" ht="15" hidden="false" customHeight="true" outlineLevel="0" collapsed="false">
      <c r="A59" s="3" t="s">
        <v>13</v>
      </c>
      <c r="B59" s="4" t="n">
        <v>14</v>
      </c>
      <c r="C59" s="5" t="s">
        <v>115</v>
      </c>
      <c r="D59" s="4" t="s">
        <v>113</v>
      </c>
      <c r="E59" s="6" t="s">
        <v>16</v>
      </c>
      <c r="F59" s="7" t="n">
        <v>150</v>
      </c>
      <c r="G59" s="7" t="n">
        <v>400</v>
      </c>
      <c r="H59" s="7" t="n">
        <v>30</v>
      </c>
      <c r="I59" s="7" t="n">
        <v>100</v>
      </c>
      <c r="J59" s="8" t="n">
        <f aca="false">ROUND(I59*1.15,0)</f>
        <v>115</v>
      </c>
      <c r="K59" s="8" t="n">
        <f aca="false">ROUND(I59*1.1,0)</f>
        <v>110</v>
      </c>
      <c r="L59" s="8" t="n">
        <f aca="false">ROUND((F59+G59)/2-J59,0)</f>
        <v>160</v>
      </c>
      <c r="M59" s="5" t="s">
        <v>116</v>
      </c>
    </row>
    <row r="60" customFormat="false" ht="15" hidden="false" customHeight="true" outlineLevel="0" collapsed="false">
      <c r="A60" s="9" t="s">
        <v>31</v>
      </c>
      <c r="B60" s="4" t="n">
        <v>74</v>
      </c>
      <c r="C60" s="5" t="s">
        <v>117</v>
      </c>
      <c r="D60" s="4" t="s">
        <v>118</v>
      </c>
      <c r="E60" s="6" t="s">
        <v>16</v>
      </c>
      <c r="F60" s="7" t="n">
        <v>100</v>
      </c>
      <c r="G60" s="7" t="n">
        <v>185</v>
      </c>
      <c r="H60" s="7" t="n">
        <v>20</v>
      </c>
      <c r="I60" s="7" t="n">
        <v>60</v>
      </c>
      <c r="J60" s="8" t="n">
        <f aca="false">ROUND(I60*1.15,0)</f>
        <v>69</v>
      </c>
      <c r="K60" s="8" t="n">
        <f aca="false">ROUND(I60*1.1,0)</f>
        <v>66</v>
      </c>
      <c r="L60" s="8" t="n">
        <f aca="false">ROUND((F60+G60)/2-J60,0)</f>
        <v>74</v>
      </c>
      <c r="M60" s="5"/>
    </row>
    <row r="61" customFormat="false" ht="15" hidden="false" customHeight="true" outlineLevel="0" collapsed="false">
      <c r="A61" s="10" t="s">
        <v>43</v>
      </c>
      <c r="B61" s="4" t="n">
        <v>151</v>
      </c>
      <c r="C61" s="5" t="s">
        <v>119</v>
      </c>
      <c r="D61" s="4" t="s">
        <v>118</v>
      </c>
      <c r="E61" s="6" t="s">
        <v>16</v>
      </c>
      <c r="F61" s="7" t="n">
        <v>40</v>
      </c>
      <c r="G61" s="7" t="n">
        <v>90</v>
      </c>
      <c r="H61" s="7" t="n">
        <v>10</v>
      </c>
      <c r="I61" s="7" t="n">
        <v>30</v>
      </c>
      <c r="J61" s="8" t="n">
        <f aca="false">ROUND(I61*1.15,0)</f>
        <v>35</v>
      </c>
      <c r="K61" s="8" t="n">
        <f aca="false">ROUND(I61*1.1,0)</f>
        <v>33</v>
      </c>
      <c r="L61" s="8" t="n">
        <f aca="false">ROUND((F61+G61)/2-J61,0)</f>
        <v>30</v>
      </c>
      <c r="M61" s="5"/>
    </row>
    <row r="62" customFormat="false" ht="15" hidden="false" customHeight="true" outlineLevel="0" collapsed="false">
      <c r="A62" s="3" t="s">
        <v>13</v>
      </c>
      <c r="B62" s="4" t="n">
        <v>270</v>
      </c>
      <c r="C62" s="5" t="s">
        <v>120</v>
      </c>
      <c r="D62" s="4" t="s">
        <v>121</v>
      </c>
      <c r="E62" s="6" t="s">
        <v>16</v>
      </c>
      <c r="F62" s="7" t="n">
        <v>100</v>
      </c>
      <c r="G62" s="7" t="n">
        <v>300</v>
      </c>
      <c r="H62" s="7" t="n">
        <v>25</v>
      </c>
      <c r="I62" s="7" t="n">
        <v>80</v>
      </c>
      <c r="J62" s="8" t="n">
        <f aca="false">ROUND(I62*1.15,0)</f>
        <v>92</v>
      </c>
      <c r="K62" s="8" t="n">
        <f aca="false">ROUND(I62*1.1,0)</f>
        <v>88</v>
      </c>
      <c r="L62" s="8" t="n">
        <f aca="false">ROUND((F62+G62)/2-J62,0)</f>
        <v>108</v>
      </c>
      <c r="M62" s="5" t="s">
        <v>122</v>
      </c>
    </row>
    <row r="63" customFormat="false" ht="15" hidden="false" customHeight="true" outlineLevel="0" collapsed="false">
      <c r="A63" s="9" t="s">
        <v>31</v>
      </c>
      <c r="B63" s="4" t="n">
        <v>280</v>
      </c>
      <c r="C63" s="5" t="s">
        <v>123</v>
      </c>
      <c r="D63" s="4" t="s">
        <v>124</v>
      </c>
      <c r="E63" s="6" t="s">
        <v>16</v>
      </c>
      <c r="F63" s="7" t="n">
        <v>50</v>
      </c>
      <c r="G63" s="7" t="n">
        <v>300</v>
      </c>
      <c r="H63" s="7" t="n">
        <v>15</v>
      </c>
      <c r="I63" s="7" t="n">
        <v>60</v>
      </c>
      <c r="J63" s="8" t="n">
        <f aca="false">ROUND(I63*1.15,0)</f>
        <v>69</v>
      </c>
      <c r="K63" s="8" t="n">
        <f aca="false">ROUND(I63*1.1,0)</f>
        <v>66</v>
      </c>
      <c r="L63" s="8" t="n">
        <f aca="false">ROUND((F63+G63)/2-J63,0)</f>
        <v>106</v>
      </c>
      <c r="M63" s="5" t="s">
        <v>125</v>
      </c>
    </row>
    <row r="64" customFormat="false" ht="15" hidden="false" customHeight="true" outlineLevel="0" collapsed="false">
      <c r="A64" s="9" t="s">
        <v>31</v>
      </c>
      <c r="B64" s="4" t="n">
        <v>265</v>
      </c>
      <c r="C64" s="5" t="s">
        <v>126</v>
      </c>
      <c r="D64" s="4" t="s">
        <v>124</v>
      </c>
      <c r="E64" s="6" t="s">
        <v>16</v>
      </c>
      <c r="F64" s="7" t="n">
        <v>50</v>
      </c>
      <c r="G64" s="7" t="n">
        <v>300</v>
      </c>
      <c r="H64" s="7" t="n">
        <v>15</v>
      </c>
      <c r="I64" s="7" t="n">
        <v>60</v>
      </c>
      <c r="J64" s="8" t="n">
        <f aca="false">ROUND(I64*1.15,0)</f>
        <v>69</v>
      </c>
      <c r="K64" s="8" t="n">
        <f aca="false">ROUND(I64*1.1,0)</f>
        <v>66</v>
      </c>
      <c r="L64" s="8" t="n">
        <f aca="false">ROUND((F64+G64)/2-J64,0)</f>
        <v>106</v>
      </c>
      <c r="M64" s="5" t="s">
        <v>127</v>
      </c>
    </row>
    <row r="65" customFormat="false" ht="15" hidden="false" customHeight="true" outlineLevel="0" collapsed="false">
      <c r="A65" s="9" t="s">
        <v>31</v>
      </c>
      <c r="B65" s="4" t="n">
        <v>266</v>
      </c>
      <c r="C65" s="5" t="s">
        <v>128</v>
      </c>
      <c r="D65" s="4" t="s">
        <v>124</v>
      </c>
      <c r="E65" s="6" t="s">
        <v>16</v>
      </c>
      <c r="F65" s="7" t="n">
        <v>50</v>
      </c>
      <c r="G65" s="7" t="n">
        <v>250</v>
      </c>
      <c r="H65" s="7" t="n">
        <v>15</v>
      </c>
      <c r="I65" s="7" t="n">
        <v>60</v>
      </c>
      <c r="J65" s="8" t="n">
        <f aca="false">ROUND(I65*1.15,0)</f>
        <v>69</v>
      </c>
      <c r="K65" s="8" t="n">
        <f aca="false">ROUND(I65*1.1,0)</f>
        <v>66</v>
      </c>
      <c r="L65" s="8" t="n">
        <f aca="false">ROUND((F65+G65)/2-J65,0)</f>
        <v>81</v>
      </c>
      <c r="M65" s="5" t="s">
        <v>129</v>
      </c>
    </row>
    <row r="66" customFormat="false" ht="15" hidden="false" customHeight="true" outlineLevel="0" collapsed="false">
      <c r="A66" s="10" t="s">
        <v>43</v>
      </c>
      <c r="B66" s="4" t="n">
        <v>287</v>
      </c>
      <c r="C66" s="5" t="s">
        <v>130</v>
      </c>
      <c r="D66" s="4" t="s">
        <v>121</v>
      </c>
      <c r="E66" s="6" t="s">
        <v>16</v>
      </c>
      <c r="F66" s="7" t="n">
        <v>40</v>
      </c>
      <c r="G66" s="7" t="n">
        <v>150</v>
      </c>
      <c r="H66" s="7" t="n">
        <v>10</v>
      </c>
      <c r="I66" s="7" t="n">
        <v>40</v>
      </c>
      <c r="J66" s="8" t="n">
        <f aca="false">ROUND(I66*1.15,0)</f>
        <v>46</v>
      </c>
      <c r="K66" s="8" t="n">
        <f aca="false">ROUND(I66*1.1,0)</f>
        <v>44</v>
      </c>
      <c r="L66" s="8" t="n">
        <f aca="false">ROUND((F66+G66)/2-J66,0)</f>
        <v>49</v>
      </c>
      <c r="M66" s="5" t="s">
        <v>131</v>
      </c>
    </row>
    <row r="67" customFormat="false" ht="15" hidden="false" customHeight="true" outlineLevel="0" collapsed="false">
      <c r="A67" s="9" t="s">
        <v>31</v>
      </c>
      <c r="B67" s="4" t="n">
        <v>263</v>
      </c>
      <c r="C67" s="5" t="s">
        <v>132</v>
      </c>
      <c r="D67" s="4" t="s">
        <v>124</v>
      </c>
      <c r="E67" s="6" t="s">
        <v>16</v>
      </c>
      <c r="F67" s="7" t="n">
        <v>50</v>
      </c>
      <c r="G67" s="7" t="n">
        <v>200</v>
      </c>
      <c r="H67" s="7" t="n">
        <v>15</v>
      </c>
      <c r="I67" s="7" t="n">
        <v>50</v>
      </c>
      <c r="J67" s="8" t="n">
        <f aca="false">ROUND(I67*1.15,0)</f>
        <v>58</v>
      </c>
      <c r="K67" s="8" t="n">
        <f aca="false">ROUND(I67*1.1,0)</f>
        <v>55</v>
      </c>
      <c r="L67" s="8" t="n">
        <f aca="false">ROUND((F67+G67)/2-J67,0)</f>
        <v>67</v>
      </c>
      <c r="M67" s="5" t="s">
        <v>133</v>
      </c>
    </row>
    <row r="68" customFormat="false" ht="15" hidden="false" customHeight="true" outlineLevel="0" collapsed="false">
      <c r="A68" s="9" t="s">
        <v>31</v>
      </c>
      <c r="B68" s="4" t="n">
        <v>359</v>
      </c>
      <c r="C68" s="5" t="s">
        <v>134</v>
      </c>
      <c r="D68" s="4" t="s">
        <v>135</v>
      </c>
      <c r="E68" s="6" t="s">
        <v>16</v>
      </c>
      <c r="F68" s="7" t="n">
        <v>100</v>
      </c>
      <c r="G68" s="7" t="n">
        <v>250</v>
      </c>
      <c r="H68" s="7" t="n">
        <v>25</v>
      </c>
      <c r="I68" s="7" t="n">
        <v>75</v>
      </c>
      <c r="J68" s="8" t="n">
        <f aca="false">ROUND(I68*1.15,0)</f>
        <v>86</v>
      </c>
      <c r="K68" s="8" t="n">
        <f aca="false">ROUND(I68*1.1,0)</f>
        <v>83</v>
      </c>
      <c r="L68" s="8" t="n">
        <f aca="false">ROUND((F68+G68)/2-J68,0)</f>
        <v>89</v>
      </c>
      <c r="M68" s="5" t="s">
        <v>136</v>
      </c>
    </row>
    <row r="69" customFormat="false" ht="15" hidden="false" customHeight="true" outlineLevel="0" collapsed="false">
      <c r="A69" s="10" t="s">
        <v>43</v>
      </c>
      <c r="B69" s="4" t="n">
        <v>358</v>
      </c>
      <c r="C69" s="5" t="s">
        <v>137</v>
      </c>
      <c r="D69" s="4" t="s">
        <v>135</v>
      </c>
      <c r="E69" s="6" t="s">
        <v>16</v>
      </c>
      <c r="F69" s="7" t="n">
        <v>50</v>
      </c>
      <c r="G69" s="7" t="n">
        <v>100</v>
      </c>
      <c r="H69" s="7" t="n">
        <v>10</v>
      </c>
      <c r="I69" s="7" t="n">
        <v>30</v>
      </c>
      <c r="J69" s="8" t="n">
        <f aca="false">ROUND(I69*1.15,0)</f>
        <v>35</v>
      </c>
      <c r="K69" s="8" t="n">
        <f aca="false">ROUND(I69*1.1,0)</f>
        <v>33</v>
      </c>
      <c r="L69" s="8" t="n">
        <f aca="false">ROUND((F69+G69)/2-J69,0)</f>
        <v>40</v>
      </c>
      <c r="M69" s="5"/>
    </row>
    <row r="70" customFormat="false" ht="15" hidden="false" customHeight="true" outlineLevel="0" collapsed="false">
      <c r="A70" s="10" t="s">
        <v>43</v>
      </c>
      <c r="B70" s="4" t="n">
        <v>44</v>
      </c>
      <c r="C70" s="5" t="s">
        <v>138</v>
      </c>
      <c r="D70" s="4" t="s">
        <v>135</v>
      </c>
      <c r="E70" s="6" t="s">
        <v>16</v>
      </c>
      <c r="F70" s="7" t="n">
        <v>40</v>
      </c>
      <c r="G70" s="7" t="n">
        <v>120</v>
      </c>
      <c r="H70" s="7" t="n">
        <v>10</v>
      </c>
      <c r="I70" s="7" t="n">
        <v>35</v>
      </c>
      <c r="J70" s="8" t="n">
        <f aca="false">ROUND(I70*1.15,0)</f>
        <v>40</v>
      </c>
      <c r="K70" s="8" t="n">
        <f aca="false">ROUND(I70*1.1,0)</f>
        <v>39</v>
      </c>
      <c r="L70" s="8" t="n">
        <f aca="false">ROUND((F70+G70)/2-J70,0)</f>
        <v>40</v>
      </c>
      <c r="M70" s="5"/>
    </row>
    <row r="71" customFormat="false" ht="15" hidden="false" customHeight="true" outlineLevel="0" collapsed="false">
      <c r="A71" s="9" t="s">
        <v>31</v>
      </c>
      <c r="B71" s="4" t="n">
        <v>16</v>
      </c>
      <c r="C71" s="5" t="s">
        <v>139</v>
      </c>
      <c r="D71" s="4" t="s">
        <v>101</v>
      </c>
      <c r="E71" s="6" t="s">
        <v>16</v>
      </c>
      <c r="F71" s="7" t="n">
        <v>50</v>
      </c>
      <c r="G71" s="7" t="n">
        <v>200</v>
      </c>
      <c r="H71" s="7" t="n">
        <v>15</v>
      </c>
      <c r="I71" s="7" t="n">
        <v>50</v>
      </c>
      <c r="J71" s="8" t="n">
        <f aca="false">ROUND(I71*1.15,0)</f>
        <v>58</v>
      </c>
      <c r="K71" s="8" t="n">
        <f aca="false">ROUND(I71*1.1,0)</f>
        <v>55</v>
      </c>
      <c r="L71" s="8" t="n">
        <f aca="false">ROUND((F71+G71)/2-J71,0)</f>
        <v>67</v>
      </c>
      <c r="M71" s="5" t="s">
        <v>140</v>
      </c>
    </row>
    <row r="72" customFormat="false" ht="15" hidden="false" customHeight="true" outlineLevel="0" collapsed="false">
      <c r="A72" s="9" t="s">
        <v>31</v>
      </c>
      <c r="B72" s="4" t="n">
        <v>17</v>
      </c>
      <c r="C72" s="5" t="s">
        <v>141</v>
      </c>
      <c r="D72" s="4" t="s">
        <v>101</v>
      </c>
      <c r="E72" s="6" t="s">
        <v>16</v>
      </c>
      <c r="F72" s="7" t="n">
        <v>50</v>
      </c>
      <c r="G72" s="7" t="n">
        <v>200</v>
      </c>
      <c r="H72" s="7" t="n">
        <v>15</v>
      </c>
      <c r="I72" s="7" t="n">
        <v>50</v>
      </c>
      <c r="J72" s="8" t="n">
        <f aca="false">ROUND(I72*1.15,0)</f>
        <v>58</v>
      </c>
      <c r="K72" s="8" t="n">
        <f aca="false">ROUND(I72*1.1,0)</f>
        <v>55</v>
      </c>
      <c r="L72" s="8" t="n">
        <f aca="false">ROUND((F72+G72)/2-J72,0)</f>
        <v>67</v>
      </c>
      <c r="M72" s="5" t="s">
        <v>30</v>
      </c>
    </row>
    <row r="73" customFormat="false" ht="15" hidden="false" customHeight="true" outlineLevel="0" collapsed="false">
      <c r="A73" s="9" t="s">
        <v>31</v>
      </c>
      <c r="B73" s="4" t="n">
        <v>3</v>
      </c>
      <c r="C73" s="5" t="s">
        <v>142</v>
      </c>
      <c r="D73" s="4" t="s">
        <v>15</v>
      </c>
      <c r="E73" s="6" t="s">
        <v>16</v>
      </c>
      <c r="F73" s="7" t="n">
        <v>40</v>
      </c>
      <c r="G73" s="7" t="n">
        <v>200</v>
      </c>
      <c r="H73" s="7" t="n">
        <v>10</v>
      </c>
      <c r="I73" s="7" t="n">
        <v>60</v>
      </c>
      <c r="J73" s="8" t="n">
        <f aca="false">ROUND(I73*1.15,0)</f>
        <v>69</v>
      </c>
      <c r="K73" s="8" t="n">
        <f aca="false">ROUND(I73*1.1,0)</f>
        <v>66</v>
      </c>
      <c r="L73" s="8" t="n">
        <f aca="false">ROUND((F73+G73)/2-J73,0)</f>
        <v>51</v>
      </c>
      <c r="M73" s="5"/>
    </row>
    <row r="74" customFormat="false" ht="15" hidden="false" customHeight="true" outlineLevel="0" collapsed="false">
      <c r="A74" s="9" t="s">
        <v>31</v>
      </c>
      <c r="B74" s="4" t="n">
        <v>94</v>
      </c>
      <c r="C74" s="5" t="s">
        <v>143</v>
      </c>
      <c r="D74" s="4" t="s">
        <v>15</v>
      </c>
      <c r="E74" s="6" t="s">
        <v>16</v>
      </c>
      <c r="F74" s="7" t="n">
        <v>40</v>
      </c>
      <c r="G74" s="7" t="n">
        <v>200</v>
      </c>
      <c r="H74" s="7" t="n">
        <v>10</v>
      </c>
      <c r="I74" s="7" t="n">
        <v>60</v>
      </c>
      <c r="J74" s="8" t="n">
        <f aca="false">ROUND(I74*1.15,0)</f>
        <v>69</v>
      </c>
      <c r="K74" s="8" t="n">
        <f aca="false">ROUND(I74*1.1,0)</f>
        <v>66</v>
      </c>
      <c r="L74" s="8" t="n">
        <f aca="false">ROUND((F74+G74)/2-J74,0)</f>
        <v>51</v>
      </c>
      <c r="M74" s="5"/>
    </row>
    <row r="75" customFormat="false" ht="15" hidden="false" customHeight="true" outlineLevel="0" collapsed="false">
      <c r="A75" s="9" t="s">
        <v>31</v>
      </c>
      <c r="B75" s="4" t="n">
        <v>97</v>
      </c>
      <c r="C75" s="5" t="s">
        <v>144</v>
      </c>
      <c r="D75" s="4" t="s">
        <v>15</v>
      </c>
      <c r="E75" s="6" t="s">
        <v>16</v>
      </c>
      <c r="F75" s="7" t="n">
        <v>50</v>
      </c>
      <c r="G75" s="7" t="n">
        <v>250</v>
      </c>
      <c r="H75" s="7" t="n">
        <v>10</v>
      </c>
      <c r="I75" s="7" t="n">
        <v>60</v>
      </c>
      <c r="J75" s="8" t="n">
        <f aca="false">ROUND(I75*1.15,0)</f>
        <v>69</v>
      </c>
      <c r="K75" s="8" t="n">
        <f aca="false">ROUND(I75*1.1,0)</f>
        <v>66</v>
      </c>
      <c r="L75" s="8" t="n">
        <f aca="false">ROUND((F75+G75)/2-J75,0)</f>
        <v>81</v>
      </c>
      <c r="M75" s="5"/>
    </row>
    <row r="76" customFormat="false" ht="15" hidden="false" customHeight="true" outlineLevel="0" collapsed="false">
      <c r="A76" s="10" t="s">
        <v>43</v>
      </c>
      <c r="B76" s="4" t="n">
        <v>100</v>
      </c>
      <c r="C76" s="5" t="s">
        <v>145</v>
      </c>
      <c r="D76" s="4" t="s">
        <v>15</v>
      </c>
      <c r="E76" s="6" t="s">
        <v>16</v>
      </c>
      <c r="F76" s="7" t="n">
        <v>30</v>
      </c>
      <c r="G76" s="7" t="n">
        <v>100</v>
      </c>
      <c r="H76" s="7" t="n">
        <v>10</v>
      </c>
      <c r="I76" s="7" t="n">
        <v>35</v>
      </c>
      <c r="J76" s="8" t="n">
        <f aca="false">ROUND(I76*1.15,0)</f>
        <v>40</v>
      </c>
      <c r="K76" s="8" t="n">
        <f aca="false">ROUND(I76*1.1,0)</f>
        <v>39</v>
      </c>
      <c r="L76" s="8" t="n">
        <f aca="false">ROUND((F76+G76)/2-J76,0)</f>
        <v>25</v>
      </c>
      <c r="M76" s="5"/>
    </row>
    <row r="77" customFormat="false" ht="15" hidden="false" customHeight="true" outlineLevel="0" collapsed="false">
      <c r="A77" s="10" t="s">
        <v>43</v>
      </c>
      <c r="B77" s="4" t="n">
        <v>109</v>
      </c>
      <c r="C77" s="5" t="s">
        <v>146</v>
      </c>
      <c r="D77" s="4" t="s">
        <v>15</v>
      </c>
      <c r="E77" s="6" t="s">
        <v>16</v>
      </c>
      <c r="F77" s="7" t="n">
        <v>40</v>
      </c>
      <c r="G77" s="7" t="n">
        <v>150</v>
      </c>
      <c r="H77" s="7" t="n">
        <v>10</v>
      </c>
      <c r="I77" s="7" t="n">
        <v>45</v>
      </c>
      <c r="J77" s="8" t="n">
        <f aca="false">ROUND(I77*1.15,0)</f>
        <v>52</v>
      </c>
      <c r="K77" s="8" t="n">
        <f aca="false">ROUND(I77*1.1,0)</f>
        <v>50</v>
      </c>
      <c r="L77" s="8" t="n">
        <f aca="false">ROUND((F77+G77)/2-J77,0)</f>
        <v>43</v>
      </c>
      <c r="M77" s="5" t="s">
        <v>147</v>
      </c>
    </row>
    <row r="78" customFormat="false" ht="15" hidden="false" customHeight="true" outlineLevel="0" collapsed="false">
      <c r="A78" s="10" t="s">
        <v>43</v>
      </c>
      <c r="B78" s="4" t="n">
        <v>98</v>
      </c>
      <c r="C78" s="5" t="s">
        <v>148</v>
      </c>
      <c r="D78" s="4" t="s">
        <v>15</v>
      </c>
      <c r="E78" s="6" t="s">
        <v>16</v>
      </c>
      <c r="F78" s="7" t="n">
        <v>40</v>
      </c>
      <c r="G78" s="7" t="n">
        <v>100</v>
      </c>
      <c r="H78" s="7" t="n">
        <v>10</v>
      </c>
      <c r="I78" s="7" t="n">
        <v>35</v>
      </c>
      <c r="J78" s="8" t="n">
        <f aca="false">ROUND(I78*1.15,0)</f>
        <v>40</v>
      </c>
      <c r="K78" s="8" t="n">
        <f aca="false">ROUND(I78*1.1,0)</f>
        <v>39</v>
      </c>
      <c r="L78" s="8" t="n">
        <f aca="false">ROUND((F78+G78)/2-J78,0)</f>
        <v>30</v>
      </c>
      <c r="M78" s="5"/>
    </row>
    <row r="79" customFormat="false" ht="15" hidden="false" customHeight="true" outlineLevel="0" collapsed="false">
      <c r="A79" s="9" t="s">
        <v>31</v>
      </c>
      <c r="B79" s="4" t="n">
        <v>99</v>
      </c>
      <c r="C79" s="5" t="s">
        <v>149</v>
      </c>
      <c r="D79" s="4" t="s">
        <v>15</v>
      </c>
      <c r="E79" s="6" t="s">
        <v>16</v>
      </c>
      <c r="F79" s="7" t="n">
        <v>45</v>
      </c>
      <c r="G79" s="7" t="n">
        <v>90</v>
      </c>
      <c r="H79" s="7" t="n">
        <v>10</v>
      </c>
      <c r="I79" s="7" t="n">
        <v>35</v>
      </c>
      <c r="J79" s="8" t="n">
        <f aca="false">ROUND(I79*1.15,0)</f>
        <v>40</v>
      </c>
      <c r="K79" s="8" t="n">
        <f aca="false">ROUND(I79*1.1,0)</f>
        <v>39</v>
      </c>
      <c r="L79" s="8" t="n">
        <f aca="false">ROUND((F79+G79)/2-J79,0)</f>
        <v>28</v>
      </c>
      <c r="M79" s="5"/>
    </row>
    <row r="80" customFormat="false" ht="15" hidden="false" customHeight="true" outlineLevel="0" collapsed="false">
      <c r="A80" s="10" t="s">
        <v>43</v>
      </c>
      <c r="B80" s="4" t="n">
        <v>102</v>
      </c>
      <c r="C80" s="5" t="s">
        <v>150</v>
      </c>
      <c r="D80" s="4" t="s">
        <v>15</v>
      </c>
      <c r="E80" s="6" t="s">
        <v>16</v>
      </c>
      <c r="F80" s="7" t="n">
        <v>40</v>
      </c>
      <c r="G80" s="7" t="n">
        <v>120</v>
      </c>
      <c r="H80" s="7" t="n">
        <v>10</v>
      </c>
      <c r="I80" s="7" t="n">
        <v>35</v>
      </c>
      <c r="J80" s="8" t="n">
        <f aca="false">ROUND(I80*1.15,0)</f>
        <v>40</v>
      </c>
      <c r="K80" s="8" t="n">
        <f aca="false">ROUND(I80*1.1,0)</f>
        <v>39</v>
      </c>
      <c r="L80" s="8" t="n">
        <f aca="false">ROUND((F80+G80)/2-J80,0)</f>
        <v>40</v>
      </c>
      <c r="M80" s="5" t="s">
        <v>151</v>
      </c>
    </row>
    <row r="81" customFormat="false" ht="15" hidden="false" customHeight="true" outlineLevel="0" collapsed="false">
      <c r="A81" s="9" t="s">
        <v>31</v>
      </c>
      <c r="B81" s="4" t="n">
        <v>101</v>
      </c>
      <c r="C81" s="5" t="s">
        <v>152</v>
      </c>
      <c r="D81" s="4" t="s">
        <v>153</v>
      </c>
      <c r="E81" s="6" t="s">
        <v>16</v>
      </c>
      <c r="F81" s="7" t="n">
        <v>25</v>
      </c>
      <c r="G81" s="7" t="n">
        <v>200</v>
      </c>
      <c r="H81" s="7" t="n">
        <v>10</v>
      </c>
      <c r="I81" s="7" t="n">
        <v>50</v>
      </c>
      <c r="J81" s="8" t="n">
        <f aca="false">ROUND(I81*1.15,0)</f>
        <v>58</v>
      </c>
      <c r="K81" s="8" t="n">
        <f aca="false">ROUND(I81*1.1,0)</f>
        <v>55</v>
      </c>
      <c r="L81" s="8" t="n">
        <f aca="false">ROUND((F81+G81)/2-J81,0)</f>
        <v>55</v>
      </c>
      <c r="M81" s="5" t="s">
        <v>154</v>
      </c>
    </row>
    <row r="82" customFormat="false" ht="15" hidden="false" customHeight="true" outlineLevel="0" collapsed="false">
      <c r="A82" s="9" t="s">
        <v>31</v>
      </c>
      <c r="B82" s="4" t="n">
        <v>428</v>
      </c>
      <c r="C82" s="5" t="s">
        <v>155</v>
      </c>
      <c r="D82" s="4" t="s">
        <v>153</v>
      </c>
      <c r="E82" s="6" t="s">
        <v>16</v>
      </c>
      <c r="F82" s="7" t="n">
        <v>25</v>
      </c>
      <c r="G82" s="7" t="n">
        <v>200</v>
      </c>
      <c r="H82" s="7" t="n">
        <v>10</v>
      </c>
      <c r="I82" s="7" t="n">
        <v>50</v>
      </c>
      <c r="J82" s="8" t="n">
        <f aca="false">ROUND(I82*1.15,0)</f>
        <v>58</v>
      </c>
      <c r="K82" s="8" t="n">
        <f aca="false">ROUND(I82*1.1,0)</f>
        <v>55</v>
      </c>
      <c r="L82" s="8" t="n">
        <f aca="false">ROUND((F82+G82)/2-J82,0)</f>
        <v>55</v>
      </c>
      <c r="M82" s="5"/>
    </row>
    <row r="83" customFormat="false" ht="23.25" hidden="false" customHeight="true" outlineLevel="0" collapsed="false">
      <c r="A83" s="9" t="s">
        <v>31</v>
      </c>
      <c r="B83" s="4" t="n">
        <v>429</v>
      </c>
      <c r="C83" s="5" t="s">
        <v>156</v>
      </c>
      <c r="D83" s="4" t="s">
        <v>153</v>
      </c>
      <c r="E83" s="6" t="s">
        <v>16</v>
      </c>
      <c r="F83" s="7" t="n">
        <v>25</v>
      </c>
      <c r="G83" s="7" t="n">
        <v>300</v>
      </c>
      <c r="H83" s="7" t="n">
        <v>10</v>
      </c>
      <c r="I83" s="7" t="n">
        <v>50</v>
      </c>
      <c r="J83" s="8" t="n">
        <f aca="false">ROUND(I83*1.15,0)</f>
        <v>58</v>
      </c>
      <c r="K83" s="8" t="n">
        <f aca="false">ROUND(I83*1.1,0)</f>
        <v>55</v>
      </c>
      <c r="L83" s="8" t="n">
        <f aca="false">ROUND((F83+G83)/2-J83,0)</f>
        <v>105</v>
      </c>
      <c r="M83" s="5" t="s">
        <v>157</v>
      </c>
    </row>
    <row r="84" customFormat="false" ht="15" hidden="false" customHeight="true" outlineLevel="0" collapsed="false">
      <c r="A84" s="9" t="s">
        <v>31</v>
      </c>
      <c r="B84" s="4" t="n">
        <v>360</v>
      </c>
      <c r="C84" s="5" t="s">
        <v>158</v>
      </c>
      <c r="D84" s="4" t="s">
        <v>15</v>
      </c>
      <c r="E84" s="6" t="s">
        <v>16</v>
      </c>
      <c r="F84" s="7" t="n">
        <v>50</v>
      </c>
      <c r="G84" s="7" t="n">
        <v>300</v>
      </c>
      <c r="H84" s="7" t="n">
        <v>15</v>
      </c>
      <c r="I84" s="7" t="n">
        <v>60</v>
      </c>
      <c r="J84" s="8" t="n">
        <f aca="false">ROUND(I84*1.15,0)</f>
        <v>69</v>
      </c>
      <c r="K84" s="8" t="n">
        <f aca="false">ROUND(I84*1.1,0)</f>
        <v>66</v>
      </c>
      <c r="L84" s="8" t="n">
        <f aca="false">ROUND((F84+G84)/2-J84,0)</f>
        <v>106</v>
      </c>
      <c r="M84" s="5" t="s">
        <v>159</v>
      </c>
    </row>
    <row r="85" customFormat="false" ht="15" hidden="false" customHeight="true" outlineLevel="0" collapsed="false">
      <c r="A85" s="9" t="s">
        <v>31</v>
      </c>
      <c r="B85" s="4" t="n">
        <v>52</v>
      </c>
      <c r="C85" s="5" t="s">
        <v>160</v>
      </c>
      <c r="D85" s="4" t="s">
        <v>101</v>
      </c>
      <c r="E85" s="6" t="s">
        <v>16</v>
      </c>
      <c r="F85" s="7" t="n">
        <v>50</v>
      </c>
      <c r="G85" s="7" t="n">
        <v>300</v>
      </c>
      <c r="H85" s="7" t="n">
        <v>15</v>
      </c>
      <c r="I85" s="7" t="n">
        <v>60</v>
      </c>
      <c r="J85" s="8" t="n">
        <f aca="false">ROUND(I85*1.15,0)</f>
        <v>69</v>
      </c>
      <c r="K85" s="8" t="n">
        <f aca="false">ROUND(I85*1.1,0)</f>
        <v>66</v>
      </c>
      <c r="L85" s="8" t="n">
        <f aca="false">ROUND((F85+G85)/2-J85,0)</f>
        <v>106</v>
      </c>
      <c r="M85" s="5" t="s">
        <v>161</v>
      </c>
    </row>
    <row r="86" customFormat="false" ht="15" hidden="false" customHeight="true" outlineLevel="0" collapsed="false">
      <c r="A86" s="9" t="s">
        <v>31</v>
      </c>
      <c r="B86" s="4" t="n">
        <v>88</v>
      </c>
      <c r="C86" s="5" t="s">
        <v>162</v>
      </c>
      <c r="D86" s="4" t="s">
        <v>163</v>
      </c>
      <c r="E86" s="6" t="s">
        <v>16</v>
      </c>
      <c r="F86" s="7" t="n">
        <v>100</v>
      </c>
      <c r="G86" s="7" t="n">
        <v>300</v>
      </c>
      <c r="H86" s="7" t="n">
        <v>20</v>
      </c>
      <c r="I86" s="7" t="n">
        <v>75</v>
      </c>
      <c r="J86" s="8" t="n">
        <f aca="false">ROUND(I86*1.15,0)</f>
        <v>86</v>
      </c>
      <c r="K86" s="8" t="n">
        <f aca="false">ROUND(I86*1.1,0)</f>
        <v>83</v>
      </c>
      <c r="L86" s="8" t="n">
        <f aca="false">ROUND((F86+G86)/2-J86,0)</f>
        <v>114</v>
      </c>
      <c r="M86" s="5"/>
    </row>
    <row r="87" customFormat="false" ht="15" hidden="false" customHeight="true" outlineLevel="0" collapsed="false">
      <c r="A87" s="10" t="s">
        <v>43</v>
      </c>
      <c r="B87" s="4" t="n">
        <v>20</v>
      </c>
      <c r="C87" s="5" t="s">
        <v>164</v>
      </c>
      <c r="D87" s="4" t="s">
        <v>101</v>
      </c>
      <c r="E87" s="6" t="s">
        <v>16</v>
      </c>
      <c r="F87" s="7" t="n">
        <v>50</v>
      </c>
      <c r="G87" s="7" t="n">
        <v>150</v>
      </c>
      <c r="H87" s="7" t="n">
        <v>10</v>
      </c>
      <c r="I87" s="7" t="n">
        <v>40</v>
      </c>
      <c r="J87" s="8" t="n">
        <f aca="false">ROUND(I87*1.15,0)</f>
        <v>46</v>
      </c>
      <c r="K87" s="8" t="n">
        <f aca="false">ROUND(I87*1.1,0)</f>
        <v>44</v>
      </c>
      <c r="L87" s="8" t="n">
        <f aca="false">ROUND((F87+G87)/2-J87,0)</f>
        <v>54</v>
      </c>
      <c r="M87" s="5"/>
    </row>
    <row r="88" customFormat="false" ht="15" hidden="false" customHeight="true" outlineLevel="0" collapsed="false">
      <c r="A88" s="10" t="s">
        <v>43</v>
      </c>
      <c r="B88" s="4" t="n">
        <v>443</v>
      </c>
      <c r="C88" s="5" t="s">
        <v>165</v>
      </c>
      <c r="D88" s="4" t="s">
        <v>166</v>
      </c>
      <c r="E88" s="6" t="s">
        <v>16</v>
      </c>
      <c r="F88" s="7" t="n">
        <v>40</v>
      </c>
      <c r="G88" s="7" t="n">
        <v>200</v>
      </c>
      <c r="H88" s="7" t="n">
        <v>10</v>
      </c>
      <c r="I88" s="7" t="n">
        <v>40</v>
      </c>
      <c r="J88" s="8" t="n">
        <f aca="false">ROUND(I88*1.15,0)</f>
        <v>46</v>
      </c>
      <c r="K88" s="8" t="n">
        <f aca="false">ROUND(I88*1.1,0)</f>
        <v>44</v>
      </c>
      <c r="L88" s="8" t="n">
        <f aca="false">ROUND((F88+G88)/2-J88,0)</f>
        <v>74</v>
      </c>
      <c r="M88" s="5" t="s">
        <v>167</v>
      </c>
    </row>
    <row r="89" customFormat="false" ht="15" hidden="false" customHeight="true" outlineLevel="0" collapsed="false">
      <c r="A89" s="10" t="s">
        <v>43</v>
      </c>
      <c r="B89" s="4" t="n">
        <v>449</v>
      </c>
      <c r="C89" s="5" t="s">
        <v>168</v>
      </c>
      <c r="D89" s="4" t="s">
        <v>169</v>
      </c>
      <c r="E89" s="6" t="s">
        <v>16</v>
      </c>
      <c r="F89" s="7" t="n">
        <v>40</v>
      </c>
      <c r="G89" s="7" t="n">
        <v>150</v>
      </c>
      <c r="H89" s="7" t="n">
        <v>10</v>
      </c>
      <c r="I89" s="7" t="n">
        <v>40</v>
      </c>
      <c r="J89" s="8" t="n">
        <f aca="false">ROUND(I89*1.15,0)</f>
        <v>46</v>
      </c>
      <c r="K89" s="8" t="n">
        <f aca="false">ROUND(I89*1.1,0)</f>
        <v>44</v>
      </c>
      <c r="L89" s="8" t="n">
        <f aca="false">ROUND((F89+G89)/2-J89,0)</f>
        <v>49</v>
      </c>
      <c r="M89" s="5"/>
    </row>
    <row r="90" customFormat="false" ht="15" hidden="false" customHeight="true" outlineLevel="0" collapsed="false">
      <c r="C90" s="11" t="s">
        <v>170</v>
      </c>
      <c r="H90" s="12" t="n">
        <f aca="false">SUM(H2:H89)</f>
        <v>1705</v>
      </c>
      <c r="I90" s="12" t="n">
        <f aca="false">SUM(I2:I89)</f>
        <v>5945</v>
      </c>
      <c r="J90" s="12" t="n">
        <f aca="false">SUM(J2:J89)</f>
        <v>6845</v>
      </c>
      <c r="K90" s="12" t="n">
        <f aca="false">SUM(K2:K89)</f>
        <v>6550</v>
      </c>
      <c r="L90" s="12" t="n">
        <f aca="false">SUM(L2:L89)</f>
        <v>10556</v>
      </c>
    </row>
    <row r="92" customFormat="false" ht="15" hidden="false" customHeight="true" outlineLevel="0" collapsed="false">
      <c r="C92" s="11" t="s">
        <v>171</v>
      </c>
      <c r="H92" s="12" t="n">
        <f aca="false">SUMIF($A$2:$A$89,"A",H2:H89)</f>
        <v>740</v>
      </c>
      <c r="I92" s="12" t="n">
        <f aca="false">SUMIF($A$2:$A$89,"A",I2:I89)</f>
        <v>2450</v>
      </c>
      <c r="J92" s="12" t="n">
        <f aca="false">SUMIF($A$2:$A$89,"A",J2:J89)</f>
        <v>2821</v>
      </c>
      <c r="K92" s="12" t="n">
        <f aca="false">SUMIF($A$2:$A$89,"A",K2:K89)</f>
        <v>2696</v>
      </c>
    </row>
    <row r="93" customFormat="false" ht="15" hidden="false" customHeight="true" outlineLevel="0" collapsed="false">
      <c r="C93" s="11" t="s">
        <v>172</v>
      </c>
      <c r="J93" s="12" t="n">
        <f aca="false">SUM(J2:J89)-SUM(K2:K89)</f>
        <v>295</v>
      </c>
    </row>
  </sheetData>
  <autoFilter ref="A1:M89"/>
  <hyperlinks>
    <hyperlink ref="E2" r:id="rId1" display="photo"/>
    <hyperlink ref="E3" r:id="rId2" display="photo"/>
    <hyperlink ref="E4" r:id="rId3" display="photo"/>
    <hyperlink ref="E5" r:id="rId4" display="photo"/>
    <hyperlink ref="E6" r:id="rId5" display="photo"/>
    <hyperlink ref="E7" r:id="rId6" display="photo"/>
    <hyperlink ref="E8" r:id="rId7" display="photo"/>
    <hyperlink ref="E9" r:id="rId8" display="photo"/>
    <hyperlink ref="E10" r:id="rId9" display="photo"/>
    <hyperlink ref="E11" r:id="rId10" display="photo"/>
    <hyperlink ref="E12" r:id="rId11" display="photo"/>
    <hyperlink ref="E13" r:id="rId12" display="photo"/>
    <hyperlink ref="E14" r:id="rId13" display="photo"/>
    <hyperlink ref="E15" r:id="rId14" display="photo"/>
    <hyperlink ref="E16" r:id="rId15" display="photo"/>
    <hyperlink ref="E17" r:id="rId16" display="photo"/>
    <hyperlink ref="E18" r:id="rId17" display="photo"/>
    <hyperlink ref="E19" r:id="rId18" display="photo"/>
    <hyperlink ref="E20" r:id="rId19" display="photo"/>
    <hyperlink ref="E21" r:id="rId20" display="photo"/>
    <hyperlink ref="E22" r:id="rId21" display="photo"/>
    <hyperlink ref="E23" r:id="rId22" display="photo"/>
    <hyperlink ref="E24" r:id="rId23" display="photo"/>
    <hyperlink ref="E25" r:id="rId24" display="photo"/>
    <hyperlink ref="E26" r:id="rId25" display="photo"/>
    <hyperlink ref="E27" r:id="rId26" display="photo"/>
    <hyperlink ref="E28" r:id="rId27" display="photo"/>
    <hyperlink ref="E29" r:id="rId28" display="photo"/>
    <hyperlink ref="E30" r:id="rId29" display="photo"/>
    <hyperlink ref="E31" r:id="rId30" display="photo"/>
    <hyperlink ref="E32" r:id="rId31" display="photo"/>
    <hyperlink ref="E33" r:id="rId32" display="photo"/>
    <hyperlink ref="E34" r:id="rId33" display="photo"/>
    <hyperlink ref="E35" r:id="rId34" display="photo"/>
    <hyperlink ref="E36" r:id="rId35" display="photo"/>
    <hyperlink ref="E37" r:id="rId36" display="photo"/>
    <hyperlink ref="E38" r:id="rId37" display="photo"/>
    <hyperlink ref="E39" r:id="rId38" display="photo"/>
    <hyperlink ref="E40" r:id="rId39" display="photo"/>
    <hyperlink ref="E41" r:id="rId40" display="photo"/>
    <hyperlink ref="E42" r:id="rId41" display="photo"/>
    <hyperlink ref="E43" r:id="rId42" display="photo"/>
    <hyperlink ref="E44" r:id="rId43" display="photo"/>
    <hyperlink ref="E45" r:id="rId44" display="photo"/>
    <hyperlink ref="E46" r:id="rId45" display="photo"/>
    <hyperlink ref="E47" r:id="rId46" display="photo"/>
    <hyperlink ref="E48" r:id="rId47" display="photo"/>
    <hyperlink ref="E49" r:id="rId48" display="photo"/>
    <hyperlink ref="E50" r:id="rId49" display="photo"/>
    <hyperlink ref="E51" r:id="rId50" display="photo"/>
    <hyperlink ref="E52" r:id="rId51" display="photo"/>
    <hyperlink ref="E53" r:id="rId52" display="photo"/>
    <hyperlink ref="E54" r:id="rId53" display="photo"/>
    <hyperlink ref="E55" r:id="rId54" display="photo"/>
    <hyperlink ref="E56" r:id="rId55" display="photo"/>
    <hyperlink ref="E57" r:id="rId56" display="photo"/>
    <hyperlink ref="E58" r:id="rId57" display="photo"/>
    <hyperlink ref="E59" r:id="rId58" display="photo"/>
    <hyperlink ref="E60" r:id="rId59" display="photo"/>
    <hyperlink ref="E61" r:id="rId60" display="photo"/>
    <hyperlink ref="E62" r:id="rId61" display="photo"/>
    <hyperlink ref="E63" r:id="rId62" display="photo"/>
    <hyperlink ref="E64" r:id="rId63" display="photo"/>
    <hyperlink ref="E65" r:id="rId64" display="photo"/>
    <hyperlink ref="E66" r:id="rId65" display="photo"/>
    <hyperlink ref="E67" r:id="rId66" display="photo"/>
    <hyperlink ref="E68" r:id="rId67" display="photo"/>
    <hyperlink ref="E69" r:id="rId68" display="photo"/>
    <hyperlink ref="E70" r:id="rId69" display="photo"/>
    <hyperlink ref="E71" r:id="rId70" display="photo"/>
    <hyperlink ref="E72" r:id="rId71" display="photo"/>
    <hyperlink ref="E73" r:id="rId72" display="photo"/>
    <hyperlink ref="E74" r:id="rId73" display="photo"/>
    <hyperlink ref="E75" r:id="rId74" display="photo"/>
    <hyperlink ref="E76" r:id="rId75" display="photo"/>
    <hyperlink ref="E77" r:id="rId76" display="photo"/>
    <hyperlink ref="E78" r:id="rId77" display="photo"/>
    <hyperlink ref="E79" r:id="rId78" display="photo"/>
    <hyperlink ref="E80" r:id="rId79" display="photo"/>
    <hyperlink ref="E81" r:id="rId80" display="photo"/>
    <hyperlink ref="E82" r:id="rId81" display="photo"/>
    <hyperlink ref="E83" r:id="rId82" display="photo"/>
    <hyperlink ref="E84" r:id="rId83" display="photo"/>
    <hyperlink ref="E85" r:id="rId84" display="photo"/>
    <hyperlink ref="E86" r:id="rId85" display="photo"/>
    <hyperlink ref="E87" r:id="rId86" display="photo"/>
    <hyperlink ref="E88" r:id="rId87" display="photo"/>
    <hyperlink ref="E89" r:id="rId88" display="pho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13" t="s">
        <v>173</v>
      </c>
      <c r="B1" s="14" t="s">
        <v>174</v>
      </c>
    </row>
    <row r="2" customFormat="false" ht="15" hidden="false" customHeight="true" outlineLevel="0" collapsed="false">
      <c r="A2" s="13" t="s">
        <v>175</v>
      </c>
      <c r="B2" s="14" t="s">
        <v>176</v>
      </c>
    </row>
    <row r="3" customFormat="false" ht="15" hidden="false" customHeight="true" outlineLevel="0" collapsed="false">
      <c r="A3" s="13" t="s">
        <v>177</v>
      </c>
      <c r="B3" s="14" t="s">
        <v>178</v>
      </c>
    </row>
    <row r="4" customFormat="false" ht="15" hidden="false" customHeight="true" outlineLevel="0" collapsed="false">
      <c r="A4" s="13" t="s">
        <v>179</v>
      </c>
      <c r="B4" s="14" t="s">
        <v>180</v>
      </c>
    </row>
    <row r="5" customFormat="false" ht="15" hidden="false" customHeight="true" outlineLevel="0" collapsed="false">
      <c r="A5" s="13" t="s">
        <v>181</v>
      </c>
      <c r="B5" s="14" t="s">
        <v>182</v>
      </c>
    </row>
    <row r="6" customFormat="false" ht="15" hidden="false" customHeight="true" outlineLevel="0" collapsed="false">
      <c r="A6" s="13"/>
      <c r="B6" s="14"/>
    </row>
    <row r="7" customFormat="false" ht="15" hidden="false" customHeight="true" outlineLevel="0" collapsed="false">
      <c r="A7" s="11" t="s">
        <v>183</v>
      </c>
      <c r="B7" s="14"/>
    </row>
    <row r="8" customFormat="false" ht="15" hidden="false" customHeight="true" outlineLevel="0" collapsed="false">
      <c r="A8" s="13" t="s">
        <v>184</v>
      </c>
      <c r="B8" s="14" t="s">
        <v>185</v>
      </c>
    </row>
    <row r="9" customFormat="false" ht="15" hidden="false" customHeight="true" outlineLevel="0" collapsed="false">
      <c r="A9" s="13" t="s">
        <v>186</v>
      </c>
      <c r="B9" s="14" t="s">
        <v>187</v>
      </c>
    </row>
    <row r="10" customFormat="false" ht="23.25" hidden="false" customHeight="true" outlineLevel="0" collapsed="false">
      <c r="A10" s="13" t="s">
        <v>188</v>
      </c>
      <c r="B10" s="14" t="s">
        <v>189</v>
      </c>
    </row>
    <row r="11" customFormat="false" ht="15" hidden="false" customHeight="true" outlineLevel="0" collapsed="false">
      <c r="A11" s="13"/>
      <c r="B11" s="14"/>
    </row>
    <row r="12" customFormat="false" ht="15" hidden="false" customHeight="true" outlineLevel="0" collapsed="false">
      <c r="A12" s="11" t="s">
        <v>190</v>
      </c>
      <c r="B12" s="14"/>
    </row>
    <row r="13" customFormat="false" ht="15" hidden="false" customHeight="true" outlineLevel="0" collapsed="false">
      <c r="A13" s="13" t="s">
        <v>191</v>
      </c>
      <c r="B13" s="14" t="s">
        <v>192</v>
      </c>
    </row>
    <row r="14" customFormat="false" ht="15" hidden="false" customHeight="true" outlineLevel="0" collapsed="false">
      <c r="A14" s="13" t="s">
        <v>193</v>
      </c>
      <c r="B14" s="14" t="s">
        <v>194</v>
      </c>
    </row>
    <row r="15" customFormat="false" ht="15" hidden="false" customHeight="true" outlineLevel="0" collapsed="false">
      <c r="A15" s="13" t="s">
        <v>195</v>
      </c>
      <c r="B15" s="14" t="s">
        <v>196</v>
      </c>
    </row>
    <row r="16" customFormat="false" ht="15" hidden="false" customHeight="true" outlineLevel="0" collapsed="false">
      <c r="A16" s="13" t="s">
        <v>197</v>
      </c>
      <c r="B16" s="14" t="s">
        <v>198</v>
      </c>
    </row>
    <row r="17" customFormat="false" ht="15" hidden="false" customHeight="true" outlineLevel="0" collapsed="false">
      <c r="A17" s="13"/>
      <c r="B17" s="14"/>
    </row>
    <row r="18" customFormat="false" ht="15" hidden="false" customHeight="true" outlineLevel="0" collapsed="false">
      <c r="A18" s="11" t="s">
        <v>199</v>
      </c>
      <c r="B18" s="14"/>
    </row>
    <row r="19" customFormat="false" ht="15" hidden="false" customHeight="true" outlineLevel="0" collapsed="false">
      <c r="A19" s="13" t="s">
        <v>0</v>
      </c>
      <c r="B19" s="14" t="s">
        <v>200</v>
      </c>
    </row>
    <row r="20" customFormat="false" ht="15" hidden="false" customHeight="true" outlineLevel="0" collapsed="false">
      <c r="A20" s="13" t="s">
        <v>201</v>
      </c>
      <c r="B20" s="14" t="s">
        <v>202</v>
      </c>
    </row>
    <row r="21" customFormat="false" ht="15" hidden="false" customHeight="true" outlineLevel="0" collapsed="false">
      <c r="A21" s="13" t="s">
        <v>203</v>
      </c>
      <c r="B21" s="14" t="s">
        <v>204</v>
      </c>
    </row>
    <row r="22" customFormat="false" ht="15" hidden="false" customHeight="true" outlineLevel="0" collapsed="false">
      <c r="A22" s="13"/>
      <c r="B22" s="14"/>
    </row>
    <row r="23" customFormat="false" ht="15" hidden="false" customHeight="true" outlineLevel="0" collapsed="false">
      <c r="A23" s="11" t="s">
        <v>205</v>
      </c>
      <c r="B23" s="14"/>
    </row>
    <row r="24" customFormat="false" ht="15" hidden="false" customHeight="true" outlineLevel="0" collapsed="false">
      <c r="A24" s="13" t="s">
        <v>19</v>
      </c>
      <c r="B24" s="14" t="s">
        <v>206</v>
      </c>
    </row>
    <row r="25" customFormat="false" ht="15" hidden="false" customHeight="true" outlineLevel="0" collapsed="false">
      <c r="A25" s="13" t="s">
        <v>207</v>
      </c>
      <c r="B25" s="14" t="s">
        <v>208</v>
      </c>
    </row>
    <row r="26" customFormat="false" ht="15" hidden="false" customHeight="true" outlineLevel="0" collapsed="false">
      <c r="A26" s="13" t="s">
        <v>209</v>
      </c>
      <c r="B26" s="14" t="s">
        <v>210</v>
      </c>
    </row>
    <row r="27" customFormat="false" ht="15" hidden="false" customHeight="true" outlineLevel="0" collapsed="false">
      <c r="A27" s="13" t="s">
        <v>211</v>
      </c>
      <c r="B27" s="14" t="s">
        <v>212</v>
      </c>
    </row>
    <row r="28" customFormat="false" ht="15" hidden="false" customHeight="true" outlineLevel="0" collapsed="false">
      <c r="A28" s="13" t="s">
        <v>213</v>
      </c>
      <c r="B28" s="14" t="s">
        <v>214</v>
      </c>
    </row>
    <row r="29" customFormat="false" ht="15" hidden="false" customHeight="true" outlineLevel="0" collapsed="false">
      <c r="A29" s="13" t="s">
        <v>215</v>
      </c>
      <c r="B29" s="14" t="s">
        <v>216</v>
      </c>
    </row>
    <row r="30" customFormat="false" ht="15" hidden="false" customHeight="true" outlineLevel="0" collapsed="false">
      <c r="A30" s="13" t="s">
        <v>217</v>
      </c>
      <c r="B30" s="14" t="s">
        <v>218</v>
      </c>
    </row>
    <row r="31" customFormat="false" ht="15" hidden="false" customHeight="true" outlineLevel="0" collapsed="false">
      <c r="A31" s="13" t="s">
        <v>219</v>
      </c>
      <c r="B31" s="14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32"/>
    <col collapsed="false" customWidth="true" hidden="false" outlineLevel="0" max="4" min="4" style="1" width="38"/>
    <col collapsed="false" customWidth="true" hidden="false" outlineLevel="0" max="5" min="5" style="1" width="18"/>
    <col collapsed="false" customWidth="true" hidden="false" outlineLevel="0" max="7" min="6" style="1" width="12"/>
    <col collapsed="false" customWidth="true" hidden="false" outlineLevel="0" max="9" min="8" style="1" width="11"/>
    <col collapsed="false" customWidth="true" hidden="false" outlineLevel="0" max="10" min="10" style="1" width="22"/>
    <col collapsed="false" customWidth="true" hidden="false" outlineLevel="0" max="11" min="11" style="1" width="14"/>
    <col collapsed="false" customWidth="true" hidden="false" outlineLevel="0" max="12" min="12" style="1" width="13"/>
    <col collapsed="false" customWidth="true" hidden="false" outlineLevel="0" max="13" min="13" style="1" width="16"/>
  </cols>
  <sheetData>
    <row r="1" customFormat="false" ht="34.5" hidden="false" customHeight="true" outlineLevel="0" collapsed="false">
      <c r="A1" s="15" t="s">
        <v>1</v>
      </c>
      <c r="B1" s="15" t="s">
        <v>4</v>
      </c>
      <c r="C1" s="15" t="s">
        <v>221</v>
      </c>
      <c r="D1" s="15" t="s">
        <v>222</v>
      </c>
      <c r="E1" s="15" t="s">
        <v>223</v>
      </c>
      <c r="F1" s="15" t="s">
        <v>224</v>
      </c>
      <c r="G1" s="15" t="s">
        <v>225</v>
      </c>
      <c r="H1" s="15" t="s">
        <v>226</v>
      </c>
      <c r="I1" s="15" t="s">
        <v>227</v>
      </c>
      <c r="J1" s="15" t="s">
        <v>228</v>
      </c>
      <c r="K1" s="15" t="s">
        <v>229</v>
      </c>
      <c r="L1" s="15" t="s">
        <v>230</v>
      </c>
      <c r="M1" s="15" t="s">
        <v>231</v>
      </c>
    </row>
    <row r="2" customFormat="false" ht="15" hidden="false" customHeight="true" outlineLevel="0" collapsed="false">
      <c r="A2" s="4" t="n">
        <v>1</v>
      </c>
      <c r="B2" s="6" t="s">
        <v>16</v>
      </c>
      <c r="C2" s="5" t="s">
        <v>232</v>
      </c>
      <c r="D2" s="5" t="s">
        <v>232</v>
      </c>
      <c r="E2" s="4" t="s">
        <v>19</v>
      </c>
      <c r="F2" s="8" t="n">
        <v>150</v>
      </c>
      <c r="G2" s="8" t="n">
        <v>800</v>
      </c>
      <c r="H2" s="4" t="s">
        <v>233</v>
      </c>
      <c r="I2" s="16" t="s">
        <v>234</v>
      </c>
      <c r="J2" s="4"/>
      <c r="K2" s="4"/>
      <c r="L2" s="4"/>
      <c r="M2" s="4" t="str">
        <f aca="false">IF(L2="","",IF(L2&lt;F2,"UNDER low est",IF(L2&gt;G2,"OVER high est","within range")))</f>
        <v/>
      </c>
    </row>
    <row r="3" customFormat="false" ht="15" hidden="false" customHeight="true" outlineLevel="0" collapsed="false">
      <c r="A3" s="4" t="n">
        <v>2</v>
      </c>
      <c r="B3" s="6" t="s">
        <v>16</v>
      </c>
      <c r="C3" s="5" t="s">
        <v>235</v>
      </c>
      <c r="D3" s="5" t="s">
        <v>235</v>
      </c>
      <c r="E3" s="4" t="s">
        <v>236</v>
      </c>
      <c r="F3" s="8" t="n">
        <v>200</v>
      </c>
      <c r="G3" s="8" t="n">
        <v>300</v>
      </c>
      <c r="H3" s="4" t="s">
        <v>233</v>
      </c>
      <c r="I3" s="16" t="s">
        <v>234</v>
      </c>
      <c r="J3" s="4"/>
      <c r="K3" s="4"/>
      <c r="L3" s="4"/>
      <c r="M3" s="4" t="str">
        <f aca="false">IF(L3="","",IF(L3&lt;F3,"UNDER low est",IF(L3&gt;G3,"OVER high est","within range")))</f>
        <v/>
      </c>
    </row>
    <row r="4" customFormat="false" ht="15" hidden="false" customHeight="true" outlineLevel="0" collapsed="false">
      <c r="A4" s="4" t="n">
        <v>3</v>
      </c>
      <c r="B4" s="6" t="s">
        <v>16</v>
      </c>
      <c r="C4" s="5" t="s">
        <v>142</v>
      </c>
      <c r="D4" s="5" t="s">
        <v>142</v>
      </c>
      <c r="E4" s="4" t="s">
        <v>237</v>
      </c>
      <c r="F4" s="8" t="n">
        <v>40</v>
      </c>
      <c r="G4" s="8" t="n">
        <v>200</v>
      </c>
      <c r="H4" s="4" t="s">
        <v>233</v>
      </c>
      <c r="I4" s="16" t="s">
        <v>234</v>
      </c>
      <c r="J4" s="4"/>
      <c r="K4" s="4"/>
      <c r="L4" s="4"/>
      <c r="M4" s="4" t="str">
        <f aca="false">IF(L4="","",IF(L4&lt;F4,"UNDER low est",IF(L4&gt;G4,"OVER high est","within range")))</f>
        <v/>
      </c>
    </row>
    <row r="5" customFormat="false" ht="15" hidden="false" customHeight="true" outlineLevel="0" collapsed="false">
      <c r="A5" s="4" t="n">
        <v>4</v>
      </c>
      <c r="B5" s="6" t="s">
        <v>16</v>
      </c>
      <c r="C5" s="5" t="s">
        <v>80</v>
      </c>
      <c r="D5" s="5" t="s">
        <v>80</v>
      </c>
      <c r="E5" s="4" t="s">
        <v>81</v>
      </c>
      <c r="F5" s="8" t="n">
        <v>75</v>
      </c>
      <c r="G5" s="8" t="n">
        <v>350</v>
      </c>
      <c r="H5" s="4" t="s">
        <v>233</v>
      </c>
      <c r="I5" s="16" t="s">
        <v>234</v>
      </c>
      <c r="J5" s="4"/>
      <c r="K5" s="4"/>
      <c r="L5" s="4"/>
      <c r="M5" s="4" t="str">
        <f aca="false">IF(L5="","",IF(L5&lt;F5,"UNDER low est",IF(L5&gt;G5,"OVER high est","within range")))</f>
        <v/>
      </c>
    </row>
    <row r="6" customFormat="false" ht="15" hidden="false" customHeight="true" outlineLevel="0" collapsed="false">
      <c r="A6" s="4" t="n">
        <v>5</v>
      </c>
      <c r="B6" s="6" t="s">
        <v>16</v>
      </c>
      <c r="C6" s="5" t="s">
        <v>238</v>
      </c>
      <c r="D6" s="5" t="s">
        <v>238</v>
      </c>
      <c r="E6" s="4" t="s">
        <v>239</v>
      </c>
      <c r="F6" s="8" t="n">
        <v>20</v>
      </c>
      <c r="G6" s="8" t="n">
        <v>60</v>
      </c>
      <c r="H6" s="4" t="s">
        <v>233</v>
      </c>
      <c r="I6" s="4"/>
      <c r="J6" s="4"/>
      <c r="K6" s="4"/>
      <c r="L6" s="4"/>
      <c r="M6" s="4" t="str">
        <f aca="false">IF(L6="","",IF(L6&lt;F6,"UNDER low est",IF(L6&gt;G6,"OVER high est","within range")))</f>
        <v/>
      </c>
    </row>
    <row r="7" customFormat="false" ht="15" hidden="false" customHeight="true" outlineLevel="0" collapsed="false">
      <c r="A7" s="4" t="n">
        <v>6</v>
      </c>
      <c r="B7" s="6" t="s">
        <v>16</v>
      </c>
      <c r="C7" s="5" t="s">
        <v>240</v>
      </c>
      <c r="D7" s="5" t="s">
        <v>240</v>
      </c>
      <c r="E7" s="4" t="s">
        <v>239</v>
      </c>
      <c r="F7" s="8" t="n">
        <v>20</v>
      </c>
      <c r="G7" s="8" t="n">
        <v>60</v>
      </c>
      <c r="H7" s="4" t="s">
        <v>233</v>
      </c>
      <c r="I7" s="4"/>
      <c r="J7" s="4"/>
      <c r="K7" s="4"/>
      <c r="L7" s="4"/>
      <c r="M7" s="4" t="str">
        <f aca="false">IF(L7="","",IF(L7&lt;F7,"UNDER low est",IF(L7&gt;G7,"OVER high est","within range")))</f>
        <v/>
      </c>
    </row>
    <row r="8" customFormat="false" ht="15" hidden="false" customHeight="true" outlineLevel="0" collapsed="false">
      <c r="A8" s="4" t="n">
        <v>7</v>
      </c>
      <c r="B8" s="6" t="s">
        <v>16</v>
      </c>
      <c r="C8" s="17" t="s">
        <v>241</v>
      </c>
      <c r="D8" s="17" t="s">
        <v>242</v>
      </c>
      <c r="E8" s="4" t="s">
        <v>239</v>
      </c>
      <c r="F8" s="8" t="n">
        <v>20</v>
      </c>
      <c r="G8" s="8" t="n">
        <v>60</v>
      </c>
      <c r="H8" s="4" t="s">
        <v>243</v>
      </c>
      <c r="I8" s="4"/>
      <c r="J8" s="4"/>
      <c r="K8" s="4"/>
      <c r="L8" s="4"/>
      <c r="M8" s="4" t="str">
        <f aca="false">IF(L8="","",IF(L8&lt;F8,"UNDER low est",IF(L8&gt;G8,"OVER high est","within range")))</f>
        <v/>
      </c>
    </row>
    <row r="9" customFormat="false" ht="15" hidden="false" customHeight="true" outlineLevel="0" collapsed="false">
      <c r="A9" s="4" t="n">
        <v>8</v>
      </c>
      <c r="B9" s="6" t="s">
        <v>16</v>
      </c>
      <c r="C9" s="5" t="s">
        <v>240</v>
      </c>
      <c r="D9" s="5" t="s">
        <v>240</v>
      </c>
      <c r="E9" s="4" t="s">
        <v>239</v>
      </c>
      <c r="F9" s="8" t="n">
        <v>20</v>
      </c>
      <c r="G9" s="8" t="n">
        <v>60</v>
      </c>
      <c r="H9" s="4" t="s">
        <v>233</v>
      </c>
      <c r="I9" s="4"/>
      <c r="J9" s="4"/>
      <c r="K9" s="4"/>
      <c r="L9" s="4"/>
      <c r="M9" s="4" t="str">
        <f aca="false">IF(L9="","",IF(L9&lt;F9,"UNDER low est",IF(L9&gt;G9,"OVER high est","within range")))</f>
        <v/>
      </c>
    </row>
    <row r="10" customFormat="false" ht="15" hidden="false" customHeight="true" outlineLevel="0" collapsed="false">
      <c r="A10" s="4" t="n">
        <v>9</v>
      </c>
      <c r="B10" s="6" t="s">
        <v>16</v>
      </c>
      <c r="C10" s="17" t="s">
        <v>241</v>
      </c>
      <c r="D10" s="17" t="s">
        <v>242</v>
      </c>
      <c r="E10" s="4" t="s">
        <v>239</v>
      </c>
      <c r="F10" s="8" t="n">
        <v>20</v>
      </c>
      <c r="G10" s="8" t="n">
        <v>60</v>
      </c>
      <c r="H10" s="4" t="s">
        <v>243</v>
      </c>
      <c r="I10" s="4"/>
      <c r="J10" s="4"/>
      <c r="K10" s="4"/>
      <c r="L10" s="4"/>
      <c r="M10" s="4" t="str">
        <f aca="false">IF(L10="","",IF(L10&lt;F10,"UNDER low est",IF(L10&gt;G10,"OVER high est","within range")))</f>
        <v/>
      </c>
    </row>
    <row r="11" customFormat="false" ht="15" hidden="false" customHeight="true" outlineLevel="0" collapsed="false">
      <c r="A11" s="4" t="n">
        <v>10</v>
      </c>
      <c r="B11" s="6" t="s">
        <v>16</v>
      </c>
      <c r="C11" s="5" t="s">
        <v>240</v>
      </c>
      <c r="D11" s="5" t="s">
        <v>240</v>
      </c>
      <c r="E11" s="4" t="s">
        <v>239</v>
      </c>
      <c r="F11" s="8" t="n">
        <v>20</v>
      </c>
      <c r="G11" s="8" t="n">
        <v>60</v>
      </c>
      <c r="H11" s="4" t="s">
        <v>233</v>
      </c>
      <c r="I11" s="4"/>
      <c r="J11" s="4"/>
      <c r="K11" s="4"/>
      <c r="L11" s="4"/>
      <c r="M11" s="4" t="str">
        <f aca="false">IF(L11="","",IF(L11&lt;F11,"UNDER low est",IF(L11&gt;G11,"OVER high est","within range")))</f>
        <v/>
      </c>
    </row>
    <row r="12" customFormat="false" ht="15" hidden="false" customHeight="true" outlineLevel="0" collapsed="false">
      <c r="A12" s="4" t="n">
        <v>11</v>
      </c>
      <c r="B12" s="6" t="s">
        <v>16</v>
      </c>
      <c r="C12" s="5" t="s">
        <v>244</v>
      </c>
      <c r="D12" s="5" t="s">
        <v>244</v>
      </c>
      <c r="E12" s="4" t="s">
        <v>239</v>
      </c>
      <c r="F12" s="8" t="n">
        <v>30</v>
      </c>
      <c r="G12" s="8" t="n">
        <v>120</v>
      </c>
      <c r="H12" s="4" t="s">
        <v>233</v>
      </c>
      <c r="I12" s="4"/>
      <c r="J12" s="4"/>
      <c r="K12" s="4"/>
      <c r="L12" s="4"/>
      <c r="M12" s="4" t="str">
        <f aca="false">IF(L12="","",IF(L12&lt;F12,"UNDER low est",IF(L12&gt;G12,"OVER high est","within range")))</f>
        <v/>
      </c>
    </row>
    <row r="13" customFormat="false" ht="15" hidden="false" customHeight="true" outlineLevel="0" collapsed="false">
      <c r="A13" s="4" t="n">
        <v>12</v>
      </c>
      <c r="B13" s="6" t="s">
        <v>16</v>
      </c>
      <c r="C13" s="5" t="s">
        <v>245</v>
      </c>
      <c r="D13" s="5" t="s">
        <v>245</v>
      </c>
      <c r="E13" s="4" t="s">
        <v>236</v>
      </c>
      <c r="F13" s="8" t="n">
        <v>10</v>
      </c>
      <c r="G13" s="8" t="n">
        <v>50</v>
      </c>
      <c r="H13" s="4" t="s">
        <v>243</v>
      </c>
      <c r="I13" s="4"/>
      <c r="J13" s="4"/>
      <c r="K13" s="4"/>
      <c r="L13" s="4"/>
      <c r="M13" s="4" t="str">
        <f aca="false">IF(L13="","",IF(L13&lt;F13,"UNDER low est",IF(L13&gt;G13,"OVER high est","within range")))</f>
        <v/>
      </c>
    </row>
    <row r="14" customFormat="false" ht="15" hidden="false" customHeight="true" outlineLevel="0" collapsed="false">
      <c r="A14" s="4" t="n">
        <v>13</v>
      </c>
      <c r="B14" s="6" t="s">
        <v>16</v>
      </c>
      <c r="C14" s="5" t="s">
        <v>246</v>
      </c>
      <c r="D14" s="5" t="s">
        <v>246</v>
      </c>
      <c r="E14" s="4" t="s">
        <v>236</v>
      </c>
      <c r="F14" s="8" t="n">
        <v>40</v>
      </c>
      <c r="G14" s="8" t="n">
        <v>150</v>
      </c>
      <c r="H14" s="4" t="s">
        <v>233</v>
      </c>
      <c r="I14" s="4"/>
      <c r="J14" s="4"/>
      <c r="K14" s="4"/>
      <c r="L14" s="4"/>
      <c r="M14" s="4" t="str">
        <f aca="false">IF(L14="","",IF(L14&lt;F14,"UNDER low est",IF(L14&gt;G14,"OVER high est","within range")))</f>
        <v/>
      </c>
    </row>
    <row r="15" customFormat="false" ht="15" hidden="false" customHeight="true" outlineLevel="0" collapsed="false">
      <c r="A15" s="4" t="n">
        <v>14</v>
      </c>
      <c r="B15" s="6" t="s">
        <v>16</v>
      </c>
      <c r="C15" s="5" t="s">
        <v>247</v>
      </c>
      <c r="D15" s="5" t="s">
        <v>247</v>
      </c>
      <c r="E15" s="4" t="s">
        <v>239</v>
      </c>
      <c r="F15" s="8" t="n">
        <v>150</v>
      </c>
      <c r="G15" s="8" t="n">
        <v>400</v>
      </c>
      <c r="H15" s="4" t="s">
        <v>233</v>
      </c>
      <c r="I15" s="16" t="s">
        <v>234</v>
      </c>
      <c r="J15" s="4"/>
      <c r="K15" s="4"/>
      <c r="L15" s="4"/>
      <c r="M15" s="4" t="str">
        <f aca="false">IF(L15="","",IF(L15&lt;F15,"UNDER low est",IF(L15&gt;G15,"OVER high est","within range")))</f>
        <v/>
      </c>
    </row>
    <row r="16" customFormat="false" ht="15" hidden="false" customHeight="true" outlineLevel="0" collapsed="false">
      <c r="A16" s="4" t="n">
        <v>15</v>
      </c>
      <c r="B16" s="6" t="s">
        <v>16</v>
      </c>
      <c r="C16" s="5" t="s">
        <v>248</v>
      </c>
      <c r="D16" s="5" t="s">
        <v>248</v>
      </c>
      <c r="E16" s="4" t="s">
        <v>236</v>
      </c>
      <c r="F16" s="8" t="n">
        <v>50</v>
      </c>
      <c r="G16" s="8" t="n">
        <v>200</v>
      </c>
      <c r="H16" s="4" t="s">
        <v>233</v>
      </c>
      <c r="I16" s="4"/>
      <c r="J16" s="4"/>
      <c r="K16" s="4"/>
      <c r="L16" s="4"/>
      <c r="M16" s="4" t="str">
        <f aca="false">IF(L16="","",IF(L16&lt;F16,"UNDER low est",IF(L16&gt;G16,"OVER high est","within range")))</f>
        <v/>
      </c>
    </row>
    <row r="17" customFormat="false" ht="15" hidden="false" customHeight="true" outlineLevel="0" collapsed="false">
      <c r="A17" s="4" t="n">
        <v>16</v>
      </c>
      <c r="B17" s="6" t="s">
        <v>16</v>
      </c>
      <c r="C17" s="17" t="s">
        <v>241</v>
      </c>
      <c r="D17" s="17" t="s">
        <v>249</v>
      </c>
      <c r="E17" s="4" t="s">
        <v>236</v>
      </c>
      <c r="F17" s="8" t="n">
        <v>50</v>
      </c>
      <c r="G17" s="8" t="n">
        <v>200</v>
      </c>
      <c r="H17" s="4" t="s">
        <v>243</v>
      </c>
      <c r="I17" s="16" t="s">
        <v>234</v>
      </c>
      <c r="J17" s="4"/>
      <c r="K17" s="4"/>
      <c r="L17" s="4"/>
      <c r="M17" s="4" t="str">
        <f aca="false">IF(L17="","",IF(L17&lt;F17,"UNDER low est",IF(L17&gt;G17,"OVER high est","within range")))</f>
        <v/>
      </c>
    </row>
    <row r="18" customFormat="false" ht="15" hidden="false" customHeight="true" outlineLevel="0" collapsed="false">
      <c r="A18" s="4" t="n">
        <v>17</v>
      </c>
      <c r="B18" s="6" t="s">
        <v>16</v>
      </c>
      <c r="C18" s="17" t="s">
        <v>241</v>
      </c>
      <c r="D18" s="17" t="s">
        <v>249</v>
      </c>
      <c r="E18" s="4" t="s">
        <v>236</v>
      </c>
      <c r="F18" s="8" t="n">
        <v>50</v>
      </c>
      <c r="G18" s="8" t="n">
        <v>200</v>
      </c>
      <c r="H18" s="4" t="s">
        <v>243</v>
      </c>
      <c r="I18" s="16" t="s">
        <v>234</v>
      </c>
      <c r="J18" s="4"/>
      <c r="K18" s="4"/>
      <c r="L18" s="4"/>
      <c r="M18" s="4" t="str">
        <f aca="false">IF(L18="","",IF(L18&lt;F18,"UNDER low est",IF(L18&gt;G18,"OVER high est","within range")))</f>
        <v/>
      </c>
    </row>
    <row r="19" customFormat="false" ht="15" hidden="false" customHeight="true" outlineLevel="0" collapsed="false">
      <c r="A19" s="4" t="n">
        <v>18</v>
      </c>
      <c r="B19" s="6" t="s">
        <v>16</v>
      </c>
      <c r="C19" s="5" t="s">
        <v>250</v>
      </c>
      <c r="D19" s="5" t="s">
        <v>250</v>
      </c>
      <c r="E19" s="4" t="s">
        <v>239</v>
      </c>
      <c r="F19" s="8" t="n">
        <v>25</v>
      </c>
      <c r="G19" s="8" t="n">
        <v>100</v>
      </c>
      <c r="H19" s="4" t="s">
        <v>233</v>
      </c>
      <c r="I19" s="4"/>
      <c r="J19" s="4"/>
      <c r="K19" s="4"/>
      <c r="L19" s="4"/>
      <c r="M19" s="4" t="str">
        <f aca="false">IF(L19="","",IF(L19&lt;F19,"UNDER low est",IF(L19&gt;G19,"OVER high est","within range")))</f>
        <v/>
      </c>
    </row>
    <row r="20" customFormat="false" ht="15" hidden="false" customHeight="true" outlineLevel="0" collapsed="false">
      <c r="A20" s="4" t="n">
        <v>19</v>
      </c>
      <c r="B20" s="6" t="s">
        <v>16</v>
      </c>
      <c r="C20" s="5" t="s">
        <v>251</v>
      </c>
      <c r="D20" s="5" t="s">
        <v>251</v>
      </c>
      <c r="E20" s="4" t="s">
        <v>239</v>
      </c>
      <c r="F20" s="8" t="n">
        <v>10</v>
      </c>
      <c r="G20" s="8" t="n">
        <v>50</v>
      </c>
      <c r="H20" s="4" t="s">
        <v>243</v>
      </c>
      <c r="I20" s="4"/>
      <c r="J20" s="4"/>
      <c r="K20" s="4"/>
      <c r="L20" s="4"/>
      <c r="M20" s="4" t="str">
        <f aca="false">IF(L20="","",IF(L20&lt;F20,"UNDER low est",IF(L20&gt;G20,"OVER high est","within range")))</f>
        <v/>
      </c>
    </row>
    <row r="21" customFormat="false" ht="15" hidden="false" customHeight="true" outlineLevel="0" collapsed="false">
      <c r="A21" s="4" t="n">
        <v>20</v>
      </c>
      <c r="B21" s="6" t="s">
        <v>16</v>
      </c>
      <c r="C21" s="5" t="s">
        <v>252</v>
      </c>
      <c r="D21" s="5" t="s">
        <v>252</v>
      </c>
      <c r="E21" s="4" t="s">
        <v>239</v>
      </c>
      <c r="F21" s="8" t="n">
        <v>10</v>
      </c>
      <c r="G21" s="8" t="n">
        <v>50</v>
      </c>
      <c r="H21" s="4" t="s">
        <v>243</v>
      </c>
      <c r="I21" s="16" t="s">
        <v>234</v>
      </c>
      <c r="J21" s="4"/>
      <c r="K21" s="4"/>
      <c r="L21" s="4"/>
      <c r="M21" s="4" t="str">
        <f aca="false">IF(L21="","",IF(L21&lt;F21,"UNDER low est",IF(L21&gt;G21,"OVER high est","within range")))</f>
        <v/>
      </c>
    </row>
    <row r="22" customFormat="false" ht="23.25" hidden="false" customHeight="true" outlineLevel="0" collapsed="false">
      <c r="A22" s="4" t="n">
        <v>21</v>
      </c>
      <c r="B22" s="6" t="s">
        <v>16</v>
      </c>
      <c r="C22" s="17" t="s">
        <v>241</v>
      </c>
      <c r="D22" s="17" t="s">
        <v>253</v>
      </c>
      <c r="E22" s="4" t="s">
        <v>237</v>
      </c>
      <c r="F22" s="8" t="n">
        <v>15</v>
      </c>
      <c r="G22" s="8" t="n">
        <v>60</v>
      </c>
      <c r="H22" s="4" t="s">
        <v>243</v>
      </c>
      <c r="I22" s="4"/>
      <c r="J22" s="4"/>
      <c r="K22" s="4"/>
      <c r="L22" s="4"/>
      <c r="M22" s="4" t="str">
        <f aca="false">IF(L22="","",IF(L22&lt;F22,"UNDER low est",IF(L22&gt;G22,"OVER high est","within range")))</f>
        <v/>
      </c>
    </row>
    <row r="23" customFormat="false" ht="15" hidden="false" customHeight="true" outlineLevel="0" collapsed="false">
      <c r="A23" s="4" t="n">
        <v>22</v>
      </c>
      <c r="B23" s="6" t="s">
        <v>16</v>
      </c>
      <c r="C23" s="5" t="s">
        <v>254</v>
      </c>
      <c r="D23" s="5" t="s">
        <v>254</v>
      </c>
      <c r="E23" s="4" t="s">
        <v>239</v>
      </c>
      <c r="F23" s="8" t="n">
        <v>10</v>
      </c>
      <c r="G23" s="8" t="n">
        <v>50</v>
      </c>
      <c r="H23" s="4" t="s">
        <v>243</v>
      </c>
      <c r="I23" s="4"/>
      <c r="J23" s="4"/>
      <c r="K23" s="4"/>
      <c r="L23" s="4"/>
      <c r="M23" s="4" t="str">
        <f aca="false">IF(L23="","",IF(L23&lt;F23,"UNDER low est",IF(L23&gt;G23,"OVER high est","within range")))</f>
        <v/>
      </c>
    </row>
    <row r="24" customFormat="false" ht="15" hidden="false" customHeight="true" outlineLevel="0" collapsed="false">
      <c r="A24" s="4" t="n">
        <v>23</v>
      </c>
      <c r="B24" s="6" t="s">
        <v>16</v>
      </c>
      <c r="C24" s="5" t="s">
        <v>255</v>
      </c>
      <c r="D24" s="5" t="s">
        <v>255</v>
      </c>
      <c r="E24" s="4" t="s">
        <v>81</v>
      </c>
      <c r="F24" s="8" t="n">
        <v>75</v>
      </c>
      <c r="G24" s="8" t="n">
        <v>350</v>
      </c>
      <c r="H24" s="4" t="s">
        <v>233</v>
      </c>
      <c r="I24" s="4"/>
      <c r="J24" s="4"/>
      <c r="K24" s="4"/>
      <c r="L24" s="4"/>
      <c r="M24" s="4" t="str">
        <f aca="false">IF(L24="","",IF(L24&lt;F24,"UNDER low est",IF(L24&gt;G24,"OVER high est","within range")))</f>
        <v/>
      </c>
    </row>
    <row r="25" customFormat="false" ht="15" hidden="false" customHeight="true" outlineLevel="0" collapsed="false">
      <c r="A25" s="4" t="n">
        <v>24</v>
      </c>
      <c r="B25" s="6" t="s">
        <v>16</v>
      </c>
      <c r="C25" s="17" t="s">
        <v>241</v>
      </c>
      <c r="D25" s="17" t="s">
        <v>256</v>
      </c>
      <c r="E25" s="4" t="s">
        <v>81</v>
      </c>
      <c r="F25" s="8" t="n">
        <v>75</v>
      </c>
      <c r="G25" s="8" t="n">
        <v>350</v>
      </c>
      <c r="H25" s="4" t="s">
        <v>243</v>
      </c>
      <c r="I25" s="16" t="s">
        <v>234</v>
      </c>
      <c r="J25" s="4"/>
      <c r="K25" s="4"/>
      <c r="L25" s="4"/>
      <c r="M25" s="4" t="str">
        <f aca="false">IF(L25="","",IF(L25&lt;F25,"UNDER low est",IF(L25&gt;G25,"OVER high est","within range")))</f>
        <v/>
      </c>
    </row>
    <row r="26" customFormat="false" ht="15" hidden="false" customHeight="true" outlineLevel="0" collapsed="false">
      <c r="A26" s="4" t="n">
        <v>25</v>
      </c>
      <c r="B26" s="6" t="s">
        <v>16</v>
      </c>
      <c r="C26" s="5" t="s">
        <v>257</v>
      </c>
      <c r="D26" s="5" t="s">
        <v>257</v>
      </c>
      <c r="E26" s="4" t="s">
        <v>81</v>
      </c>
      <c r="F26" s="8" t="n">
        <v>75</v>
      </c>
      <c r="G26" s="8" t="n">
        <v>350</v>
      </c>
      <c r="H26" s="4" t="s">
        <v>233</v>
      </c>
      <c r="I26" s="16" t="s">
        <v>234</v>
      </c>
      <c r="J26" s="4"/>
      <c r="K26" s="4"/>
      <c r="L26" s="4"/>
      <c r="M26" s="4" t="str">
        <f aca="false">IF(L26="","",IF(L26&lt;F26,"UNDER low est",IF(L26&gt;G26,"OVER high est","within range")))</f>
        <v/>
      </c>
    </row>
    <row r="27" customFormat="false" ht="15" hidden="false" customHeight="true" outlineLevel="0" collapsed="false">
      <c r="A27" s="4" t="n">
        <v>26</v>
      </c>
      <c r="B27" s="6" t="s">
        <v>16</v>
      </c>
      <c r="C27" s="5" t="s">
        <v>257</v>
      </c>
      <c r="D27" s="5" t="s">
        <v>257</v>
      </c>
      <c r="E27" s="4" t="s">
        <v>81</v>
      </c>
      <c r="F27" s="8" t="n">
        <v>75</v>
      </c>
      <c r="G27" s="8" t="n">
        <v>350</v>
      </c>
      <c r="H27" s="4" t="s">
        <v>233</v>
      </c>
      <c r="I27" s="4"/>
      <c r="J27" s="4"/>
      <c r="K27" s="4"/>
      <c r="L27" s="4"/>
      <c r="M27" s="4" t="str">
        <f aca="false">IF(L27="","",IF(L27&lt;F27,"UNDER low est",IF(L27&gt;G27,"OVER high est","within range")))</f>
        <v/>
      </c>
    </row>
    <row r="28" customFormat="false" ht="15" hidden="false" customHeight="true" outlineLevel="0" collapsed="false">
      <c r="A28" s="4" t="n">
        <v>27</v>
      </c>
      <c r="B28" s="6" t="s">
        <v>16</v>
      </c>
      <c r="C28" s="17" t="s">
        <v>241</v>
      </c>
      <c r="D28" s="17" t="s">
        <v>256</v>
      </c>
      <c r="E28" s="4" t="s">
        <v>81</v>
      </c>
      <c r="F28" s="8" t="n">
        <v>75</v>
      </c>
      <c r="G28" s="8" t="n">
        <v>350</v>
      </c>
      <c r="H28" s="4" t="s">
        <v>243</v>
      </c>
      <c r="I28" s="4"/>
      <c r="J28" s="4"/>
      <c r="K28" s="4"/>
      <c r="L28" s="4"/>
      <c r="M28" s="4" t="str">
        <f aca="false">IF(L28="","",IF(L28&lt;F28,"UNDER low est",IF(L28&gt;G28,"OVER high est","within range")))</f>
        <v/>
      </c>
    </row>
    <row r="29" customFormat="false" ht="15" hidden="false" customHeight="true" outlineLevel="0" collapsed="false">
      <c r="A29" s="4" t="n">
        <v>28</v>
      </c>
      <c r="B29" s="6" t="s">
        <v>16</v>
      </c>
      <c r="C29" s="5" t="s">
        <v>257</v>
      </c>
      <c r="D29" s="5" t="s">
        <v>257</v>
      </c>
      <c r="E29" s="4" t="s">
        <v>81</v>
      </c>
      <c r="F29" s="8" t="n">
        <v>75</v>
      </c>
      <c r="G29" s="8" t="n">
        <v>350</v>
      </c>
      <c r="H29" s="4" t="s">
        <v>233</v>
      </c>
      <c r="I29" s="4"/>
      <c r="J29" s="4"/>
      <c r="K29" s="4"/>
      <c r="L29" s="4"/>
      <c r="M29" s="4" t="str">
        <f aca="false">IF(L29="","",IF(L29&lt;F29,"UNDER low est",IF(L29&gt;G29,"OVER high est","within range")))</f>
        <v/>
      </c>
    </row>
    <row r="30" customFormat="false" ht="23.25" hidden="false" customHeight="true" outlineLevel="0" collapsed="false">
      <c r="A30" s="4" t="n">
        <v>29</v>
      </c>
      <c r="B30" s="6" t="s">
        <v>16</v>
      </c>
      <c r="C30" s="17" t="s">
        <v>241</v>
      </c>
      <c r="D30" s="17" t="s">
        <v>258</v>
      </c>
      <c r="E30" s="4" t="s">
        <v>81</v>
      </c>
      <c r="F30" s="8" t="n">
        <v>75</v>
      </c>
      <c r="G30" s="8" t="n">
        <v>350</v>
      </c>
      <c r="H30" s="4" t="s">
        <v>243</v>
      </c>
      <c r="I30" s="4"/>
      <c r="J30" s="4"/>
      <c r="K30" s="4"/>
      <c r="L30" s="4"/>
      <c r="M30" s="4" t="str">
        <f aca="false">IF(L30="","",IF(L30&lt;F30,"UNDER low est",IF(L30&gt;G30,"OVER high est","within range")))</f>
        <v/>
      </c>
    </row>
    <row r="31" customFormat="false" ht="15" hidden="false" customHeight="true" outlineLevel="0" collapsed="false">
      <c r="A31" s="4" t="n">
        <v>30</v>
      </c>
      <c r="B31" s="6" t="s">
        <v>16</v>
      </c>
      <c r="C31" s="5" t="s">
        <v>257</v>
      </c>
      <c r="D31" s="5" t="s">
        <v>257</v>
      </c>
      <c r="E31" s="4" t="s">
        <v>81</v>
      </c>
      <c r="F31" s="8" t="n">
        <v>75</v>
      </c>
      <c r="G31" s="8" t="n">
        <v>350</v>
      </c>
      <c r="H31" s="4" t="s">
        <v>233</v>
      </c>
      <c r="I31" s="4"/>
      <c r="J31" s="4"/>
      <c r="K31" s="4"/>
      <c r="L31" s="4"/>
      <c r="M31" s="4" t="str">
        <f aca="false">IF(L31="","",IF(L31&lt;F31,"UNDER low est",IF(L31&gt;G31,"OVER high est","within range")))</f>
        <v/>
      </c>
    </row>
    <row r="32" customFormat="false" ht="23.25" hidden="false" customHeight="true" outlineLevel="0" collapsed="false">
      <c r="A32" s="4" t="n">
        <v>31</v>
      </c>
      <c r="B32" s="6" t="s">
        <v>16</v>
      </c>
      <c r="C32" s="17" t="s">
        <v>241</v>
      </c>
      <c r="D32" s="17" t="s">
        <v>259</v>
      </c>
      <c r="E32" s="4" t="s">
        <v>81</v>
      </c>
      <c r="F32" s="8" t="n">
        <v>75</v>
      </c>
      <c r="G32" s="8" t="n">
        <v>350</v>
      </c>
      <c r="H32" s="4" t="s">
        <v>243</v>
      </c>
      <c r="I32" s="4"/>
      <c r="J32" s="4"/>
      <c r="K32" s="4"/>
      <c r="L32" s="4"/>
      <c r="M32" s="4" t="str">
        <f aca="false">IF(L32="","",IF(L32&lt;F32,"UNDER low est",IF(L32&gt;G32,"OVER high est","within range")))</f>
        <v/>
      </c>
    </row>
    <row r="33" customFormat="false" ht="15" hidden="false" customHeight="true" outlineLevel="0" collapsed="false">
      <c r="A33" s="4" t="n">
        <v>32</v>
      </c>
      <c r="B33" s="6" t="s">
        <v>16</v>
      </c>
      <c r="C33" s="5" t="s">
        <v>257</v>
      </c>
      <c r="D33" s="5" t="s">
        <v>257</v>
      </c>
      <c r="E33" s="4" t="s">
        <v>81</v>
      </c>
      <c r="F33" s="8" t="n">
        <v>75</v>
      </c>
      <c r="G33" s="8" t="n">
        <v>350</v>
      </c>
      <c r="H33" s="4" t="s">
        <v>233</v>
      </c>
      <c r="I33" s="4"/>
      <c r="J33" s="4"/>
      <c r="K33" s="4"/>
      <c r="L33" s="4"/>
      <c r="M33" s="4" t="str">
        <f aca="false">IF(L33="","",IF(L33&lt;F33,"UNDER low est",IF(L33&gt;G33,"OVER high est","within range")))</f>
        <v/>
      </c>
    </row>
    <row r="34" customFormat="false" ht="23.25" hidden="false" customHeight="true" outlineLevel="0" collapsed="false">
      <c r="A34" s="4" t="n">
        <v>33</v>
      </c>
      <c r="B34" s="6" t="s">
        <v>16</v>
      </c>
      <c r="C34" s="17" t="s">
        <v>241</v>
      </c>
      <c r="D34" s="17" t="s">
        <v>260</v>
      </c>
      <c r="E34" s="4" t="s">
        <v>81</v>
      </c>
      <c r="F34" s="8" t="n">
        <v>75</v>
      </c>
      <c r="G34" s="8" t="n">
        <v>350</v>
      </c>
      <c r="H34" s="4" t="s">
        <v>243</v>
      </c>
      <c r="I34" s="4"/>
      <c r="J34" s="4"/>
      <c r="K34" s="4"/>
      <c r="L34" s="4"/>
      <c r="M34" s="4" t="str">
        <f aca="false">IF(L34="","",IF(L34&lt;F34,"UNDER low est",IF(L34&gt;G34,"OVER high est","within range")))</f>
        <v/>
      </c>
    </row>
    <row r="35" customFormat="false" ht="15" hidden="false" customHeight="true" outlineLevel="0" collapsed="false">
      <c r="A35" s="4" t="n">
        <v>34</v>
      </c>
      <c r="B35" s="6" t="s">
        <v>16</v>
      </c>
      <c r="C35" s="5" t="s">
        <v>257</v>
      </c>
      <c r="D35" s="5" t="s">
        <v>257</v>
      </c>
      <c r="E35" s="4" t="s">
        <v>81</v>
      </c>
      <c r="F35" s="8" t="n">
        <v>75</v>
      </c>
      <c r="G35" s="8" t="n">
        <v>350</v>
      </c>
      <c r="H35" s="4" t="s">
        <v>233</v>
      </c>
      <c r="I35" s="4"/>
      <c r="J35" s="4"/>
      <c r="K35" s="4"/>
      <c r="L35" s="4"/>
      <c r="M35" s="4" t="str">
        <f aca="false">IF(L35="","",IF(L35&lt;F35,"UNDER low est",IF(L35&gt;G35,"OVER high est","within range")))</f>
        <v/>
      </c>
    </row>
    <row r="36" customFormat="false" ht="15" hidden="false" customHeight="true" outlineLevel="0" collapsed="false">
      <c r="A36" s="4" t="n">
        <v>35</v>
      </c>
      <c r="B36" s="6" t="s">
        <v>16</v>
      </c>
      <c r="C36" s="17" t="s">
        <v>241</v>
      </c>
      <c r="D36" s="17" t="s">
        <v>261</v>
      </c>
      <c r="E36" s="4" t="s">
        <v>81</v>
      </c>
      <c r="F36" s="8" t="n">
        <v>75</v>
      </c>
      <c r="G36" s="8" t="n">
        <v>350</v>
      </c>
      <c r="H36" s="4" t="s">
        <v>243</v>
      </c>
      <c r="I36" s="4"/>
      <c r="J36" s="4"/>
      <c r="K36" s="4"/>
      <c r="L36" s="4"/>
      <c r="M36" s="4" t="str">
        <f aca="false">IF(L36="","",IF(L36&lt;F36,"UNDER low est",IF(L36&gt;G36,"OVER high est","within range")))</f>
        <v/>
      </c>
    </row>
    <row r="37" customFormat="false" ht="15" hidden="false" customHeight="true" outlineLevel="0" collapsed="false">
      <c r="A37" s="4" t="n">
        <v>36</v>
      </c>
      <c r="B37" s="6" t="s">
        <v>16</v>
      </c>
      <c r="C37" s="5" t="s">
        <v>262</v>
      </c>
      <c r="D37" s="5" t="s">
        <v>262</v>
      </c>
      <c r="E37" s="4" t="s">
        <v>239</v>
      </c>
      <c r="F37" s="8" t="n">
        <v>25</v>
      </c>
      <c r="G37" s="8" t="n">
        <v>80</v>
      </c>
      <c r="H37" s="4" t="s">
        <v>233</v>
      </c>
      <c r="I37" s="4"/>
      <c r="J37" s="4"/>
      <c r="K37" s="4"/>
      <c r="L37" s="4"/>
      <c r="M37" s="4" t="str">
        <f aca="false">IF(L37="","",IF(L37&lt;F37,"UNDER low est",IF(L37&gt;G37,"OVER high est","within range")))</f>
        <v/>
      </c>
    </row>
    <row r="38" customFormat="false" ht="15" hidden="false" customHeight="true" outlineLevel="0" collapsed="false">
      <c r="A38" s="4" t="n">
        <v>37</v>
      </c>
      <c r="B38" s="6" t="s">
        <v>16</v>
      </c>
      <c r="C38" s="5" t="s">
        <v>100</v>
      </c>
      <c r="D38" s="5" t="s">
        <v>100</v>
      </c>
      <c r="E38" s="4" t="s">
        <v>239</v>
      </c>
      <c r="F38" s="8" t="n">
        <v>10</v>
      </c>
      <c r="G38" s="8" t="n">
        <v>50</v>
      </c>
      <c r="H38" s="4" t="s">
        <v>243</v>
      </c>
      <c r="I38" s="16" t="s">
        <v>234</v>
      </c>
      <c r="J38" s="4"/>
      <c r="K38" s="4"/>
      <c r="L38" s="4"/>
      <c r="M38" s="4" t="str">
        <f aca="false">IF(L38="","",IF(L38&lt;F38,"UNDER low est",IF(L38&gt;G38,"OVER high est","within range")))</f>
        <v/>
      </c>
    </row>
    <row r="39" customFormat="false" ht="15" hidden="false" customHeight="true" outlineLevel="0" collapsed="false">
      <c r="A39" s="4" t="n">
        <v>38</v>
      </c>
      <c r="B39" s="6" t="s">
        <v>16</v>
      </c>
      <c r="C39" s="5" t="s">
        <v>263</v>
      </c>
      <c r="D39" s="5" t="s">
        <v>263</v>
      </c>
      <c r="E39" s="4" t="s">
        <v>236</v>
      </c>
      <c r="F39" s="8" t="n">
        <v>30</v>
      </c>
      <c r="G39" s="8" t="n">
        <v>80</v>
      </c>
      <c r="H39" s="4" t="s">
        <v>233</v>
      </c>
      <c r="I39" s="4"/>
      <c r="J39" s="4"/>
      <c r="K39" s="4"/>
      <c r="L39" s="4"/>
      <c r="M39" s="4" t="str">
        <f aca="false">IF(L39="","",IF(L39&lt;F39,"UNDER low est",IF(L39&gt;G39,"OVER high est","within range")))</f>
        <v/>
      </c>
    </row>
    <row r="40" customFormat="false" ht="23.25" hidden="false" customHeight="true" outlineLevel="0" collapsed="false">
      <c r="A40" s="4" t="n">
        <v>39</v>
      </c>
      <c r="B40" s="6" t="s">
        <v>16</v>
      </c>
      <c r="C40" s="17" t="s">
        <v>241</v>
      </c>
      <c r="D40" s="17" t="s">
        <v>264</v>
      </c>
      <c r="E40" s="4" t="s">
        <v>265</v>
      </c>
      <c r="F40" s="8" t="n">
        <v>30</v>
      </c>
      <c r="G40" s="8" t="n">
        <v>100</v>
      </c>
      <c r="H40" s="4" t="s">
        <v>243</v>
      </c>
      <c r="I40" s="16" t="s">
        <v>234</v>
      </c>
      <c r="J40" s="4"/>
      <c r="K40" s="4"/>
      <c r="L40" s="4"/>
      <c r="M40" s="4" t="str">
        <f aca="false">IF(L40="","",IF(L40&lt;F40,"UNDER low est",IF(L40&gt;G40,"OVER high est","within range")))</f>
        <v/>
      </c>
    </row>
    <row r="41" customFormat="false" ht="15" hidden="false" customHeight="true" outlineLevel="0" collapsed="false">
      <c r="A41" s="4" t="n">
        <v>40</v>
      </c>
      <c r="B41" s="6" t="s">
        <v>16</v>
      </c>
      <c r="C41" s="5" t="s">
        <v>266</v>
      </c>
      <c r="D41" s="5" t="s">
        <v>266</v>
      </c>
      <c r="E41" s="4" t="s">
        <v>265</v>
      </c>
      <c r="F41" s="8" t="n">
        <v>100</v>
      </c>
      <c r="G41" s="8" t="n">
        <v>250</v>
      </c>
      <c r="H41" s="4" t="s">
        <v>233</v>
      </c>
      <c r="I41" s="16" t="s">
        <v>234</v>
      </c>
      <c r="J41" s="4"/>
      <c r="K41" s="4"/>
      <c r="L41" s="4"/>
      <c r="M41" s="4" t="str">
        <f aca="false">IF(L41="","",IF(L41&lt;F41,"UNDER low est",IF(L41&gt;G41,"OVER high est","within range")))</f>
        <v/>
      </c>
    </row>
    <row r="42" customFormat="false" ht="15" hidden="false" customHeight="true" outlineLevel="0" collapsed="false">
      <c r="A42" s="4" t="n">
        <v>41</v>
      </c>
      <c r="B42" s="6" t="s">
        <v>16</v>
      </c>
      <c r="C42" s="5" t="s">
        <v>267</v>
      </c>
      <c r="D42" s="5" t="s">
        <v>267</v>
      </c>
      <c r="E42" s="4" t="s">
        <v>239</v>
      </c>
      <c r="F42" s="8" t="n">
        <v>30</v>
      </c>
      <c r="G42" s="8" t="n">
        <v>90</v>
      </c>
      <c r="H42" s="4" t="s">
        <v>233</v>
      </c>
      <c r="I42" s="4"/>
      <c r="J42" s="4"/>
      <c r="K42" s="4"/>
      <c r="L42" s="4"/>
      <c r="M42" s="4" t="str">
        <f aca="false">IF(L42="","",IF(L42&lt;F42,"UNDER low est",IF(L42&gt;G42,"OVER high est","within range")))</f>
        <v/>
      </c>
    </row>
    <row r="43" customFormat="false" ht="15" hidden="false" customHeight="true" outlineLevel="0" collapsed="false">
      <c r="A43" s="4" t="n">
        <v>42</v>
      </c>
      <c r="B43" s="6" t="s">
        <v>16</v>
      </c>
      <c r="C43" s="5" t="s">
        <v>268</v>
      </c>
      <c r="D43" s="5" t="s">
        <v>268</v>
      </c>
      <c r="E43" s="4" t="s">
        <v>239</v>
      </c>
      <c r="F43" s="8" t="n">
        <v>30</v>
      </c>
      <c r="G43" s="8" t="n">
        <v>90</v>
      </c>
      <c r="H43" s="4" t="s">
        <v>233</v>
      </c>
      <c r="I43" s="4"/>
      <c r="J43" s="4"/>
      <c r="K43" s="4"/>
      <c r="L43" s="4"/>
      <c r="M43" s="4" t="str">
        <f aca="false">IF(L43="","",IF(L43&lt;F43,"UNDER low est",IF(L43&gt;G43,"OVER high est","within range")))</f>
        <v/>
      </c>
    </row>
    <row r="44" customFormat="false" ht="15" hidden="false" customHeight="true" outlineLevel="0" collapsed="false">
      <c r="A44" s="4" t="n">
        <v>43</v>
      </c>
      <c r="B44" s="6" t="s">
        <v>16</v>
      </c>
      <c r="C44" s="5" t="s">
        <v>269</v>
      </c>
      <c r="D44" s="5" t="s">
        <v>269</v>
      </c>
      <c r="E44" s="4" t="s">
        <v>239</v>
      </c>
      <c r="F44" s="8" t="n">
        <v>20</v>
      </c>
      <c r="G44" s="8" t="n">
        <v>60</v>
      </c>
      <c r="H44" s="4" t="s">
        <v>233</v>
      </c>
      <c r="I44" s="4"/>
      <c r="J44" s="4"/>
      <c r="K44" s="4"/>
      <c r="L44" s="4"/>
      <c r="M44" s="4" t="str">
        <f aca="false">IF(L44="","",IF(L44&lt;F44,"UNDER low est",IF(L44&gt;G44,"OVER high est","within range")))</f>
        <v/>
      </c>
    </row>
    <row r="45" customFormat="false" ht="15" hidden="false" customHeight="true" outlineLevel="0" collapsed="false">
      <c r="A45" s="4" t="n">
        <v>44</v>
      </c>
      <c r="B45" s="6" t="s">
        <v>16</v>
      </c>
      <c r="C45" s="5" t="s">
        <v>270</v>
      </c>
      <c r="D45" s="5" t="s">
        <v>270</v>
      </c>
      <c r="E45" s="4" t="s">
        <v>271</v>
      </c>
      <c r="F45" s="8" t="n">
        <v>40</v>
      </c>
      <c r="G45" s="8" t="n">
        <v>120</v>
      </c>
      <c r="H45" s="4" t="s">
        <v>233</v>
      </c>
      <c r="I45" s="16" t="s">
        <v>234</v>
      </c>
      <c r="J45" s="4"/>
      <c r="K45" s="4"/>
      <c r="L45" s="4"/>
      <c r="M45" s="4" t="str">
        <f aca="false">IF(L45="","",IF(L45&lt;F45,"UNDER low est",IF(L45&gt;G45,"OVER high est","within range")))</f>
        <v/>
      </c>
    </row>
    <row r="46" customFormat="false" ht="15" hidden="false" customHeight="true" outlineLevel="0" collapsed="false">
      <c r="A46" s="4" t="n">
        <v>45</v>
      </c>
      <c r="B46" s="6" t="s">
        <v>16</v>
      </c>
      <c r="C46" s="5" t="s">
        <v>272</v>
      </c>
      <c r="D46" s="5" t="s">
        <v>272</v>
      </c>
      <c r="E46" s="4" t="s">
        <v>271</v>
      </c>
      <c r="F46" s="8" t="n">
        <v>40</v>
      </c>
      <c r="G46" s="8" t="n">
        <v>120</v>
      </c>
      <c r="H46" s="4" t="s">
        <v>233</v>
      </c>
      <c r="I46" s="4"/>
      <c r="J46" s="4"/>
      <c r="K46" s="4"/>
      <c r="L46" s="4"/>
      <c r="M46" s="4" t="str">
        <f aca="false">IF(L46="","",IF(L46&lt;F46,"UNDER low est",IF(L46&gt;G46,"OVER high est","within range")))</f>
        <v/>
      </c>
    </row>
    <row r="47" customFormat="false" ht="15" hidden="false" customHeight="true" outlineLevel="0" collapsed="false">
      <c r="A47" s="4" t="n">
        <v>46</v>
      </c>
      <c r="B47" s="6" t="s">
        <v>16</v>
      </c>
      <c r="C47" s="17" t="s">
        <v>241</v>
      </c>
      <c r="D47" s="17" t="s">
        <v>273</v>
      </c>
      <c r="E47" s="4" t="s">
        <v>274</v>
      </c>
      <c r="F47" s="8" t="n">
        <v>10</v>
      </c>
      <c r="G47" s="8" t="n">
        <v>50</v>
      </c>
      <c r="H47" s="4" t="s">
        <v>275</v>
      </c>
      <c r="I47" s="4"/>
      <c r="J47" s="4"/>
      <c r="K47" s="4"/>
      <c r="L47" s="4"/>
      <c r="M47" s="4" t="str">
        <f aca="false">IF(L47="","",IF(L47&lt;F47,"UNDER low est",IF(L47&gt;G47,"OVER high est","within range")))</f>
        <v/>
      </c>
    </row>
    <row r="48" customFormat="false" ht="15" hidden="false" customHeight="true" outlineLevel="0" collapsed="false">
      <c r="A48" s="4" t="n">
        <v>47</v>
      </c>
      <c r="B48" s="6" t="s">
        <v>16</v>
      </c>
      <c r="C48" s="5" t="s">
        <v>276</v>
      </c>
      <c r="D48" s="5" t="s">
        <v>276</v>
      </c>
      <c r="E48" s="4" t="s">
        <v>108</v>
      </c>
      <c r="F48" s="8" t="n">
        <v>30</v>
      </c>
      <c r="G48" s="8" t="n">
        <v>90</v>
      </c>
      <c r="H48" s="4" t="s">
        <v>233</v>
      </c>
      <c r="I48" s="4"/>
      <c r="J48" s="4"/>
      <c r="K48" s="4"/>
      <c r="L48" s="4"/>
      <c r="M48" s="4" t="str">
        <f aca="false">IF(L48="","",IF(L48&lt;F48,"UNDER low est",IF(L48&gt;G48,"OVER high est","within range")))</f>
        <v/>
      </c>
    </row>
    <row r="49" customFormat="false" ht="15" hidden="false" customHeight="true" outlineLevel="0" collapsed="false">
      <c r="A49" s="4" t="n">
        <v>48</v>
      </c>
      <c r="B49" s="6" t="s">
        <v>16</v>
      </c>
      <c r="C49" s="5" t="s">
        <v>277</v>
      </c>
      <c r="D49" s="5" t="s">
        <v>277</v>
      </c>
      <c r="E49" s="4" t="s">
        <v>271</v>
      </c>
      <c r="F49" s="8" t="n">
        <v>20</v>
      </c>
      <c r="G49" s="8" t="n">
        <v>80</v>
      </c>
      <c r="H49" s="4" t="s">
        <v>233</v>
      </c>
      <c r="I49" s="4"/>
      <c r="J49" s="4"/>
      <c r="K49" s="4"/>
      <c r="L49" s="4"/>
      <c r="M49" s="4" t="str">
        <f aca="false">IF(L49="","",IF(L49&lt;F49,"UNDER low est",IF(L49&gt;G49,"OVER high est","within range")))</f>
        <v/>
      </c>
    </row>
    <row r="50" customFormat="false" ht="15" hidden="false" customHeight="true" outlineLevel="0" collapsed="false">
      <c r="A50" s="4" t="n">
        <v>49</v>
      </c>
      <c r="B50" s="6" t="s">
        <v>16</v>
      </c>
      <c r="C50" s="5" t="s">
        <v>278</v>
      </c>
      <c r="D50" s="5" t="s">
        <v>278</v>
      </c>
      <c r="E50" s="4" t="s">
        <v>274</v>
      </c>
      <c r="F50" s="8" t="n">
        <v>20</v>
      </c>
      <c r="G50" s="8" t="n">
        <v>80</v>
      </c>
      <c r="H50" s="4" t="s">
        <v>233</v>
      </c>
      <c r="I50" s="4"/>
      <c r="J50" s="4"/>
      <c r="K50" s="4"/>
      <c r="L50" s="4"/>
      <c r="M50" s="4" t="str">
        <f aca="false">IF(L50="","",IF(L50&lt;F50,"UNDER low est",IF(L50&gt;G50,"OVER high est","within range")))</f>
        <v/>
      </c>
    </row>
    <row r="51" customFormat="false" ht="15" hidden="false" customHeight="true" outlineLevel="0" collapsed="false">
      <c r="A51" s="4" t="n">
        <v>50</v>
      </c>
      <c r="B51" s="6" t="s">
        <v>16</v>
      </c>
      <c r="C51" s="5" t="s">
        <v>279</v>
      </c>
      <c r="D51" s="5" t="s">
        <v>279</v>
      </c>
      <c r="E51" s="4" t="s">
        <v>239</v>
      </c>
      <c r="F51" s="8" t="n">
        <v>75</v>
      </c>
      <c r="G51" s="8" t="n">
        <v>150</v>
      </c>
      <c r="H51" s="4" t="s">
        <v>233</v>
      </c>
      <c r="I51" s="16" t="s">
        <v>234</v>
      </c>
      <c r="J51" s="4"/>
      <c r="K51" s="4"/>
      <c r="L51" s="4"/>
      <c r="M51" s="4" t="str">
        <f aca="false">IF(L51="","",IF(L51&lt;F51,"UNDER low est",IF(L51&gt;G51,"OVER high est","within range")))</f>
        <v/>
      </c>
    </row>
    <row r="52" customFormat="false" ht="15" hidden="false" customHeight="true" outlineLevel="0" collapsed="false">
      <c r="A52" s="4" t="n">
        <v>51</v>
      </c>
      <c r="B52" s="6" t="s">
        <v>16</v>
      </c>
      <c r="C52" s="5" t="s">
        <v>280</v>
      </c>
      <c r="D52" s="5" t="s">
        <v>280</v>
      </c>
      <c r="E52" s="4" t="s">
        <v>239</v>
      </c>
      <c r="F52" s="8" t="n">
        <v>75</v>
      </c>
      <c r="G52" s="8" t="n">
        <v>200</v>
      </c>
      <c r="H52" s="4" t="s">
        <v>233</v>
      </c>
      <c r="I52" s="16" t="s">
        <v>234</v>
      </c>
      <c r="J52" s="4"/>
      <c r="K52" s="4"/>
      <c r="L52" s="4"/>
      <c r="M52" s="4" t="str">
        <f aca="false">IF(L52="","",IF(L52&lt;F52,"UNDER low est",IF(L52&gt;G52,"OVER high est","within range")))</f>
        <v/>
      </c>
    </row>
    <row r="53" customFormat="false" ht="15" hidden="false" customHeight="true" outlineLevel="0" collapsed="false">
      <c r="A53" s="4" t="n">
        <v>52</v>
      </c>
      <c r="B53" s="6" t="s">
        <v>16</v>
      </c>
      <c r="C53" s="5" t="s">
        <v>160</v>
      </c>
      <c r="D53" s="5" t="s">
        <v>160</v>
      </c>
      <c r="E53" s="4" t="s">
        <v>281</v>
      </c>
      <c r="F53" s="8" t="n">
        <v>30</v>
      </c>
      <c r="G53" s="8" t="n">
        <v>150</v>
      </c>
      <c r="H53" s="4" t="s">
        <v>233</v>
      </c>
      <c r="I53" s="16" t="s">
        <v>234</v>
      </c>
      <c r="J53" s="4"/>
      <c r="K53" s="4"/>
      <c r="L53" s="4"/>
      <c r="M53" s="4" t="str">
        <f aca="false">IF(L53="","",IF(L53&lt;F53,"UNDER low est",IF(L53&gt;G53,"OVER high est","within range")))</f>
        <v/>
      </c>
    </row>
    <row r="54" customFormat="false" ht="15" hidden="false" customHeight="true" outlineLevel="0" collapsed="false">
      <c r="A54" s="4" t="n">
        <v>53</v>
      </c>
      <c r="B54" s="6" t="s">
        <v>16</v>
      </c>
      <c r="C54" s="5" t="s">
        <v>107</v>
      </c>
      <c r="D54" s="5" t="s">
        <v>107</v>
      </c>
      <c r="E54" s="4" t="s">
        <v>108</v>
      </c>
      <c r="F54" s="8" t="n">
        <v>75</v>
      </c>
      <c r="G54" s="8" t="n">
        <v>250</v>
      </c>
      <c r="H54" s="4" t="s">
        <v>233</v>
      </c>
      <c r="I54" s="16" t="s">
        <v>234</v>
      </c>
      <c r="J54" s="4"/>
      <c r="K54" s="4"/>
      <c r="L54" s="4"/>
      <c r="M54" s="4" t="str">
        <f aca="false">IF(L54="","",IF(L54&lt;F54,"UNDER low est",IF(L54&gt;G54,"OVER high est","within range")))</f>
        <v/>
      </c>
    </row>
    <row r="55" customFormat="false" ht="15" hidden="false" customHeight="true" outlineLevel="0" collapsed="false">
      <c r="A55" s="4" t="n">
        <v>54</v>
      </c>
      <c r="B55" s="6" t="s">
        <v>16</v>
      </c>
      <c r="C55" s="5" t="s">
        <v>282</v>
      </c>
      <c r="D55" s="5" t="s">
        <v>282</v>
      </c>
      <c r="E55" s="4" t="s">
        <v>237</v>
      </c>
      <c r="F55" s="8" t="n">
        <v>10</v>
      </c>
      <c r="G55" s="8" t="n">
        <v>50</v>
      </c>
      <c r="H55" s="4" t="s">
        <v>243</v>
      </c>
      <c r="I55" s="4"/>
      <c r="J55" s="4"/>
      <c r="K55" s="4"/>
      <c r="L55" s="4"/>
      <c r="M55" s="4" t="str">
        <f aca="false">IF(L55="","",IF(L55&lt;F55,"UNDER low est",IF(L55&gt;G55,"OVER high est","within range")))</f>
        <v/>
      </c>
    </row>
    <row r="56" customFormat="false" ht="15" hidden="false" customHeight="true" outlineLevel="0" collapsed="false">
      <c r="A56" s="4" t="n">
        <v>55</v>
      </c>
      <c r="B56" s="6" t="s">
        <v>16</v>
      </c>
      <c r="C56" s="5" t="s">
        <v>283</v>
      </c>
      <c r="D56" s="5" t="s">
        <v>283</v>
      </c>
      <c r="E56" s="4" t="s">
        <v>237</v>
      </c>
      <c r="F56" s="8" t="n">
        <v>10</v>
      </c>
      <c r="G56" s="8" t="n">
        <v>40</v>
      </c>
      <c r="H56" s="4" t="s">
        <v>233</v>
      </c>
      <c r="I56" s="4"/>
      <c r="J56" s="4"/>
      <c r="K56" s="4"/>
      <c r="L56" s="4"/>
      <c r="M56" s="4" t="str">
        <f aca="false">IF(L56="","",IF(L56&lt;F56,"UNDER low est",IF(L56&gt;G56,"OVER high est","within range")))</f>
        <v/>
      </c>
    </row>
    <row r="57" customFormat="false" ht="15" hidden="false" customHeight="true" outlineLevel="0" collapsed="false">
      <c r="A57" s="4" t="n">
        <v>56</v>
      </c>
      <c r="B57" s="6" t="s">
        <v>16</v>
      </c>
      <c r="C57" s="5" t="s">
        <v>284</v>
      </c>
      <c r="D57" s="5" t="s">
        <v>284</v>
      </c>
      <c r="E57" s="4" t="s">
        <v>239</v>
      </c>
      <c r="F57" s="8" t="n">
        <v>30</v>
      </c>
      <c r="G57" s="8" t="n">
        <v>100</v>
      </c>
      <c r="H57" s="4" t="s">
        <v>233</v>
      </c>
      <c r="I57" s="4"/>
      <c r="J57" s="4"/>
      <c r="K57" s="4"/>
      <c r="L57" s="4"/>
      <c r="M57" s="4" t="str">
        <f aca="false">IF(L57="","",IF(L57&lt;F57,"UNDER low est",IF(L57&gt;G57,"OVER high est","within range")))</f>
        <v/>
      </c>
    </row>
    <row r="58" customFormat="false" ht="23.25" hidden="false" customHeight="true" outlineLevel="0" collapsed="false">
      <c r="A58" s="4" t="n">
        <v>57</v>
      </c>
      <c r="B58" s="6" t="s">
        <v>16</v>
      </c>
      <c r="C58" s="17" t="s">
        <v>241</v>
      </c>
      <c r="D58" s="17" t="s">
        <v>285</v>
      </c>
      <c r="E58" s="4" t="s">
        <v>239</v>
      </c>
      <c r="F58" s="8" t="n">
        <v>75</v>
      </c>
      <c r="G58" s="8" t="n">
        <v>200</v>
      </c>
      <c r="H58" s="4" t="s">
        <v>243</v>
      </c>
      <c r="I58" s="16" t="s">
        <v>234</v>
      </c>
      <c r="J58" s="4"/>
      <c r="K58" s="4"/>
      <c r="L58" s="4"/>
      <c r="M58" s="4" t="str">
        <f aca="false">IF(L58="","",IF(L58&lt;F58,"UNDER low est",IF(L58&gt;G58,"OVER high est","within range")))</f>
        <v/>
      </c>
    </row>
    <row r="59" customFormat="false" ht="15" hidden="false" customHeight="true" outlineLevel="0" collapsed="false">
      <c r="A59" s="4" t="n">
        <v>58</v>
      </c>
      <c r="B59" s="6" t="s">
        <v>16</v>
      </c>
      <c r="C59" s="5" t="s">
        <v>286</v>
      </c>
      <c r="D59" s="5" t="s">
        <v>286</v>
      </c>
      <c r="E59" s="4" t="s">
        <v>237</v>
      </c>
      <c r="F59" s="8" t="n">
        <v>40</v>
      </c>
      <c r="G59" s="8" t="n">
        <v>150</v>
      </c>
      <c r="H59" s="4" t="s">
        <v>233</v>
      </c>
      <c r="I59" s="4"/>
      <c r="J59" s="4"/>
      <c r="K59" s="4"/>
      <c r="L59" s="4"/>
      <c r="M59" s="4" t="str">
        <f aca="false">IF(L59="","",IF(L59&lt;F59,"UNDER low est",IF(L59&gt;G59,"OVER high est","within range")))</f>
        <v/>
      </c>
    </row>
    <row r="60" customFormat="false" ht="15" hidden="false" customHeight="true" outlineLevel="0" collapsed="false">
      <c r="A60" s="4" t="n">
        <v>59</v>
      </c>
      <c r="B60" s="6" t="s">
        <v>16</v>
      </c>
      <c r="C60" s="5" t="s">
        <v>287</v>
      </c>
      <c r="D60" s="5" t="s">
        <v>287</v>
      </c>
      <c r="E60" s="4" t="s">
        <v>237</v>
      </c>
      <c r="F60" s="8" t="n">
        <v>40</v>
      </c>
      <c r="G60" s="8" t="n">
        <v>150</v>
      </c>
      <c r="H60" s="4" t="s">
        <v>233</v>
      </c>
      <c r="I60" s="4"/>
      <c r="J60" s="4"/>
      <c r="K60" s="4"/>
      <c r="L60" s="4"/>
      <c r="M60" s="4" t="str">
        <f aca="false">IF(L60="","",IF(L60&lt;F60,"UNDER low est",IF(L60&gt;G60,"OVER high est","within range")))</f>
        <v/>
      </c>
    </row>
    <row r="61" customFormat="false" ht="15" hidden="false" customHeight="true" outlineLevel="0" collapsed="false">
      <c r="A61" s="4" t="n">
        <v>61</v>
      </c>
      <c r="B61" s="6" t="s">
        <v>16</v>
      </c>
      <c r="C61" s="5" t="s">
        <v>288</v>
      </c>
      <c r="D61" s="5" t="s">
        <v>288</v>
      </c>
      <c r="E61" s="4" t="s">
        <v>237</v>
      </c>
      <c r="F61" s="8" t="n">
        <v>40</v>
      </c>
      <c r="G61" s="8" t="n">
        <v>150</v>
      </c>
      <c r="H61" s="4" t="s">
        <v>233</v>
      </c>
      <c r="I61" s="4"/>
      <c r="J61" s="4"/>
      <c r="K61" s="4"/>
      <c r="L61" s="4"/>
      <c r="M61" s="4" t="str">
        <f aca="false">IF(L61="","",IF(L61&lt;F61,"UNDER low est",IF(L61&gt;G61,"OVER high est","within range")))</f>
        <v/>
      </c>
    </row>
    <row r="62" customFormat="false" ht="15" hidden="false" customHeight="true" outlineLevel="0" collapsed="false">
      <c r="A62" s="4" t="n">
        <v>62</v>
      </c>
      <c r="B62" s="6" t="s">
        <v>16</v>
      </c>
      <c r="C62" s="5" t="s">
        <v>289</v>
      </c>
      <c r="D62" s="5" t="s">
        <v>289</v>
      </c>
      <c r="E62" s="4" t="s">
        <v>237</v>
      </c>
      <c r="F62" s="8" t="n">
        <v>40</v>
      </c>
      <c r="G62" s="8" t="n">
        <v>150</v>
      </c>
      <c r="H62" s="4" t="s">
        <v>233</v>
      </c>
      <c r="I62" s="4"/>
      <c r="J62" s="4"/>
      <c r="K62" s="4"/>
      <c r="L62" s="4"/>
      <c r="M62" s="4" t="str">
        <f aca="false">IF(L62="","",IF(L62&lt;F62,"UNDER low est",IF(L62&gt;G62,"OVER high est","within range")))</f>
        <v/>
      </c>
    </row>
    <row r="63" customFormat="false" ht="23.25" hidden="false" customHeight="true" outlineLevel="0" collapsed="false">
      <c r="A63" s="4" t="n">
        <v>63</v>
      </c>
      <c r="B63" s="6" t="s">
        <v>16</v>
      </c>
      <c r="C63" s="17" t="s">
        <v>241</v>
      </c>
      <c r="D63" s="17" t="s">
        <v>290</v>
      </c>
      <c r="E63" s="4" t="s">
        <v>239</v>
      </c>
      <c r="F63" s="8" t="n">
        <v>30</v>
      </c>
      <c r="G63" s="8" t="n">
        <v>100</v>
      </c>
      <c r="H63" s="4" t="s">
        <v>243</v>
      </c>
      <c r="I63" s="4"/>
      <c r="J63" s="4"/>
      <c r="K63" s="4"/>
      <c r="L63" s="4"/>
      <c r="M63" s="4" t="str">
        <f aca="false">IF(L63="","",IF(L63&lt;F63,"UNDER low est",IF(L63&gt;G63,"OVER high est","within range")))</f>
        <v/>
      </c>
    </row>
    <row r="64" customFormat="false" ht="15" hidden="false" customHeight="true" outlineLevel="0" collapsed="false">
      <c r="A64" s="4" t="n">
        <v>64</v>
      </c>
      <c r="B64" s="6" t="s">
        <v>16</v>
      </c>
      <c r="C64" s="5" t="s">
        <v>291</v>
      </c>
      <c r="D64" s="5" t="s">
        <v>291</v>
      </c>
      <c r="E64" s="4" t="s">
        <v>239</v>
      </c>
      <c r="F64" s="8" t="n">
        <v>30</v>
      </c>
      <c r="G64" s="8" t="n">
        <v>100</v>
      </c>
      <c r="H64" s="4" t="s">
        <v>233</v>
      </c>
      <c r="I64" s="4"/>
      <c r="J64" s="4"/>
      <c r="K64" s="4"/>
      <c r="L64" s="4"/>
      <c r="M64" s="4" t="str">
        <f aca="false">IF(L64="","",IF(L64&lt;F64,"UNDER low est",IF(L64&gt;G64,"OVER high est","within range")))</f>
        <v/>
      </c>
    </row>
    <row r="65" customFormat="false" ht="15" hidden="false" customHeight="true" outlineLevel="0" collapsed="false">
      <c r="A65" s="4" t="n">
        <v>65</v>
      </c>
      <c r="B65" s="6" t="s">
        <v>16</v>
      </c>
      <c r="C65" s="5" t="s">
        <v>207</v>
      </c>
      <c r="D65" s="5" t="s">
        <v>207</v>
      </c>
      <c r="E65" s="4" t="s">
        <v>239</v>
      </c>
      <c r="F65" s="8" t="n">
        <v>200</v>
      </c>
      <c r="G65" s="8" t="n">
        <v>700</v>
      </c>
      <c r="H65" s="4" t="s">
        <v>233</v>
      </c>
      <c r="I65" s="16" t="s">
        <v>234</v>
      </c>
      <c r="J65" s="4"/>
      <c r="K65" s="4"/>
      <c r="L65" s="4"/>
      <c r="M65" s="4" t="str">
        <f aca="false">IF(L65="","",IF(L65&lt;F65,"UNDER low est",IF(L65&gt;G65,"OVER high est","within range")))</f>
        <v/>
      </c>
    </row>
    <row r="66" customFormat="false" ht="15" hidden="false" customHeight="true" outlineLevel="0" collapsed="false">
      <c r="A66" s="4" t="n">
        <v>66</v>
      </c>
      <c r="B66" s="6" t="s">
        <v>16</v>
      </c>
      <c r="C66" s="5" t="s">
        <v>292</v>
      </c>
      <c r="D66" s="5" t="s">
        <v>292</v>
      </c>
      <c r="E66" s="4" t="s">
        <v>239</v>
      </c>
      <c r="F66" s="8" t="n">
        <v>50</v>
      </c>
      <c r="G66" s="8" t="n">
        <v>150</v>
      </c>
      <c r="H66" s="4" t="s">
        <v>233</v>
      </c>
      <c r="I66" s="4"/>
      <c r="J66" s="4"/>
      <c r="K66" s="4"/>
      <c r="L66" s="4"/>
      <c r="M66" s="4" t="str">
        <f aca="false">IF(L66="","",IF(L66&lt;F66,"UNDER low est",IF(L66&gt;G66,"OVER high est","within range")))</f>
        <v/>
      </c>
    </row>
    <row r="67" customFormat="false" ht="15" hidden="false" customHeight="true" outlineLevel="0" collapsed="false">
      <c r="A67" s="4" t="n">
        <v>67</v>
      </c>
      <c r="B67" s="6" t="s">
        <v>16</v>
      </c>
      <c r="C67" s="5" t="s">
        <v>293</v>
      </c>
      <c r="D67" s="5" t="s">
        <v>293</v>
      </c>
      <c r="E67" s="4" t="s">
        <v>237</v>
      </c>
      <c r="F67" s="8" t="n">
        <v>75</v>
      </c>
      <c r="G67" s="8" t="n">
        <v>200</v>
      </c>
      <c r="H67" s="4" t="s">
        <v>233</v>
      </c>
      <c r="I67" s="4"/>
      <c r="J67" s="4"/>
      <c r="K67" s="4"/>
      <c r="L67" s="4"/>
      <c r="M67" s="4" t="str">
        <f aca="false">IF(L67="","",IF(L67&lt;F67,"UNDER low est",IF(L67&gt;G67,"OVER high est","within range")))</f>
        <v/>
      </c>
    </row>
    <row r="68" customFormat="false" ht="15" hidden="false" customHeight="true" outlineLevel="0" collapsed="false">
      <c r="A68" s="4" t="n">
        <v>68</v>
      </c>
      <c r="B68" s="6" t="s">
        <v>16</v>
      </c>
      <c r="C68" s="5" t="s">
        <v>294</v>
      </c>
      <c r="D68" s="5" t="s">
        <v>294</v>
      </c>
      <c r="E68" s="4" t="s">
        <v>239</v>
      </c>
      <c r="F68" s="8" t="n">
        <v>10</v>
      </c>
      <c r="G68" s="8" t="n">
        <v>50</v>
      </c>
      <c r="H68" s="4" t="s">
        <v>243</v>
      </c>
      <c r="I68" s="4"/>
      <c r="J68" s="4"/>
      <c r="K68" s="4"/>
      <c r="L68" s="4"/>
      <c r="M68" s="4" t="str">
        <f aca="false">IF(L68="","",IF(L68&lt;F68,"UNDER low est",IF(L68&gt;G68,"OVER high est","within range")))</f>
        <v/>
      </c>
    </row>
    <row r="69" customFormat="false" ht="15" hidden="false" customHeight="true" outlineLevel="0" collapsed="false">
      <c r="A69" s="4" t="n">
        <v>69</v>
      </c>
      <c r="B69" s="6" t="s">
        <v>16</v>
      </c>
      <c r="C69" s="5" t="s">
        <v>295</v>
      </c>
      <c r="D69" s="5" t="s">
        <v>295</v>
      </c>
      <c r="E69" s="4" t="s">
        <v>239</v>
      </c>
      <c r="F69" s="8" t="n">
        <v>10</v>
      </c>
      <c r="G69" s="8" t="n">
        <v>50</v>
      </c>
      <c r="H69" s="4" t="s">
        <v>243</v>
      </c>
      <c r="I69" s="4"/>
      <c r="J69" s="4"/>
      <c r="K69" s="4"/>
      <c r="L69" s="4"/>
      <c r="M69" s="4" t="str">
        <f aca="false">IF(L69="","",IF(L69&lt;F69,"UNDER low est",IF(L69&gt;G69,"OVER high est","within range")))</f>
        <v/>
      </c>
    </row>
    <row r="70" customFormat="false" ht="15" hidden="false" customHeight="true" outlineLevel="0" collapsed="false">
      <c r="A70" s="4" t="n">
        <v>70</v>
      </c>
      <c r="B70" s="6" t="s">
        <v>16</v>
      </c>
      <c r="C70" s="5" t="s">
        <v>296</v>
      </c>
      <c r="D70" s="5" t="s">
        <v>296</v>
      </c>
      <c r="E70" s="4" t="s">
        <v>81</v>
      </c>
      <c r="F70" s="8" t="n">
        <v>10</v>
      </c>
      <c r="G70" s="8" t="n">
        <v>50</v>
      </c>
      <c r="H70" s="4" t="s">
        <v>243</v>
      </c>
      <c r="I70" s="4"/>
      <c r="J70" s="4"/>
      <c r="K70" s="4"/>
      <c r="L70" s="4"/>
      <c r="M70" s="4" t="str">
        <f aca="false">IF(L70="","",IF(L70&lt;F70,"UNDER low est",IF(L70&gt;G70,"OVER high est","within range")))</f>
        <v/>
      </c>
    </row>
    <row r="71" customFormat="false" ht="15" hidden="false" customHeight="true" outlineLevel="0" collapsed="false">
      <c r="A71" s="4" t="n">
        <v>71</v>
      </c>
      <c r="B71" s="6" t="s">
        <v>16</v>
      </c>
      <c r="C71" s="5" t="s">
        <v>297</v>
      </c>
      <c r="D71" s="5" t="s">
        <v>297</v>
      </c>
      <c r="E71" s="4" t="s">
        <v>59</v>
      </c>
      <c r="F71" s="8" t="n">
        <v>10</v>
      </c>
      <c r="G71" s="8" t="n">
        <v>50</v>
      </c>
      <c r="H71" s="4" t="s">
        <v>243</v>
      </c>
      <c r="I71" s="4"/>
      <c r="J71" s="4"/>
      <c r="K71" s="4"/>
      <c r="L71" s="4"/>
      <c r="M71" s="4" t="str">
        <f aca="false">IF(L71="","",IF(L71&lt;F71,"UNDER low est",IF(L71&gt;G71,"OVER high est","within range")))</f>
        <v/>
      </c>
    </row>
    <row r="72" customFormat="false" ht="15" hidden="false" customHeight="true" outlineLevel="0" collapsed="false">
      <c r="A72" s="4" t="n">
        <v>72</v>
      </c>
      <c r="B72" s="6" t="s">
        <v>16</v>
      </c>
      <c r="C72" s="5" t="s">
        <v>298</v>
      </c>
      <c r="D72" s="5" t="s">
        <v>298</v>
      </c>
      <c r="E72" s="4" t="s">
        <v>299</v>
      </c>
      <c r="F72" s="8" t="n">
        <v>10</v>
      </c>
      <c r="G72" s="8" t="n">
        <v>50</v>
      </c>
      <c r="H72" s="4" t="s">
        <v>243</v>
      </c>
      <c r="I72" s="4"/>
      <c r="J72" s="4"/>
      <c r="K72" s="4"/>
      <c r="L72" s="4"/>
      <c r="M72" s="4" t="str">
        <f aca="false">IF(L72="","",IF(L72&lt;F72,"UNDER low est",IF(L72&gt;G72,"OVER high est","within range")))</f>
        <v/>
      </c>
    </row>
    <row r="73" customFormat="false" ht="15" hidden="false" customHeight="true" outlineLevel="0" collapsed="false">
      <c r="A73" s="4" t="n">
        <v>73</v>
      </c>
      <c r="B73" s="6" t="s">
        <v>16</v>
      </c>
      <c r="C73" s="17" t="s">
        <v>241</v>
      </c>
      <c r="D73" s="17" t="s">
        <v>300</v>
      </c>
      <c r="E73" s="4" t="s">
        <v>239</v>
      </c>
      <c r="F73" s="8" t="n">
        <v>10</v>
      </c>
      <c r="G73" s="8" t="n">
        <v>50</v>
      </c>
      <c r="H73" s="4" t="s">
        <v>275</v>
      </c>
      <c r="I73" s="4"/>
      <c r="J73" s="4"/>
      <c r="K73" s="4"/>
      <c r="L73" s="4"/>
      <c r="M73" s="4" t="str">
        <f aca="false">IF(L73="","",IF(L73&lt;F73,"UNDER low est",IF(L73&gt;G73,"OVER high est","within range")))</f>
        <v/>
      </c>
    </row>
    <row r="74" customFormat="false" ht="15" hidden="false" customHeight="true" outlineLevel="0" collapsed="false">
      <c r="A74" s="4" t="n">
        <v>74</v>
      </c>
      <c r="B74" s="6" t="s">
        <v>16</v>
      </c>
      <c r="C74" s="5" t="s">
        <v>301</v>
      </c>
      <c r="D74" s="5" t="s">
        <v>301</v>
      </c>
      <c r="E74" s="4" t="s">
        <v>274</v>
      </c>
      <c r="F74" s="8" t="n">
        <v>100</v>
      </c>
      <c r="G74" s="8" t="n">
        <v>185</v>
      </c>
      <c r="H74" s="4" t="s">
        <v>233</v>
      </c>
      <c r="I74" s="16" t="s">
        <v>234</v>
      </c>
      <c r="J74" s="4"/>
      <c r="K74" s="4"/>
      <c r="L74" s="4"/>
      <c r="M74" s="4" t="str">
        <f aca="false">IF(L74="","",IF(L74&lt;F74,"UNDER low est",IF(L74&gt;G74,"OVER high est","within range")))</f>
        <v/>
      </c>
    </row>
    <row r="75" customFormat="false" ht="23.25" hidden="false" customHeight="true" outlineLevel="0" collapsed="false">
      <c r="A75" s="4" t="n">
        <v>75</v>
      </c>
      <c r="B75" s="6" t="s">
        <v>16</v>
      </c>
      <c r="C75" s="17" t="s">
        <v>241</v>
      </c>
      <c r="D75" s="17" t="s">
        <v>302</v>
      </c>
      <c r="E75" s="4" t="s">
        <v>237</v>
      </c>
      <c r="F75" s="8" t="n">
        <v>75</v>
      </c>
      <c r="G75" s="8" t="n">
        <v>150</v>
      </c>
      <c r="H75" s="4" t="s">
        <v>243</v>
      </c>
      <c r="I75" s="4"/>
      <c r="J75" s="4"/>
      <c r="K75" s="4"/>
      <c r="L75" s="4"/>
      <c r="M75" s="4" t="str">
        <f aca="false">IF(L75="","",IF(L75&lt;F75,"UNDER low est",IF(L75&gt;G75,"OVER high est","within range")))</f>
        <v/>
      </c>
    </row>
    <row r="76" customFormat="false" ht="15" hidden="false" customHeight="true" outlineLevel="0" collapsed="false">
      <c r="A76" s="4" t="n">
        <v>76</v>
      </c>
      <c r="B76" s="6" t="s">
        <v>16</v>
      </c>
      <c r="C76" s="5" t="s">
        <v>303</v>
      </c>
      <c r="D76" s="5" t="s">
        <v>303</v>
      </c>
      <c r="E76" s="4" t="s">
        <v>239</v>
      </c>
      <c r="F76" s="8" t="n">
        <v>75</v>
      </c>
      <c r="G76" s="8" t="n">
        <v>150</v>
      </c>
      <c r="H76" s="4" t="s">
        <v>233</v>
      </c>
      <c r="I76" s="16" t="s">
        <v>234</v>
      </c>
      <c r="J76" s="4"/>
      <c r="K76" s="4"/>
      <c r="L76" s="4"/>
      <c r="M76" s="4" t="str">
        <f aca="false">IF(L76="","",IF(L76&lt;F76,"UNDER low est",IF(L76&gt;G76,"OVER high est","within range")))</f>
        <v/>
      </c>
    </row>
    <row r="77" customFormat="false" ht="15" hidden="false" customHeight="true" outlineLevel="0" collapsed="false">
      <c r="A77" s="4" t="n">
        <v>77</v>
      </c>
      <c r="B77" s="6" t="s">
        <v>16</v>
      </c>
      <c r="C77" s="5" t="s">
        <v>304</v>
      </c>
      <c r="D77" s="5" t="s">
        <v>304</v>
      </c>
      <c r="E77" s="4" t="s">
        <v>239</v>
      </c>
      <c r="F77" s="8" t="n">
        <v>10</v>
      </c>
      <c r="G77" s="8" t="n">
        <v>50</v>
      </c>
      <c r="H77" s="4" t="s">
        <v>243</v>
      </c>
      <c r="I77" s="4"/>
      <c r="J77" s="4"/>
      <c r="K77" s="4"/>
      <c r="L77" s="4"/>
      <c r="M77" s="4" t="str">
        <f aca="false">IF(L77="","",IF(L77&lt;F77,"UNDER low est",IF(L77&gt;G77,"OVER high est","within range")))</f>
        <v/>
      </c>
    </row>
    <row r="78" customFormat="false" ht="15" hidden="false" customHeight="true" outlineLevel="0" collapsed="false">
      <c r="A78" s="4" t="n">
        <v>78</v>
      </c>
      <c r="B78" s="6" t="s">
        <v>16</v>
      </c>
      <c r="C78" s="5" t="s">
        <v>305</v>
      </c>
      <c r="D78" s="5" t="s">
        <v>305</v>
      </c>
      <c r="E78" s="4" t="s">
        <v>236</v>
      </c>
      <c r="F78" s="8" t="n">
        <v>10</v>
      </c>
      <c r="G78" s="8" t="n">
        <v>50</v>
      </c>
      <c r="H78" s="4" t="s">
        <v>243</v>
      </c>
      <c r="I78" s="4"/>
      <c r="J78" s="4"/>
      <c r="K78" s="4"/>
      <c r="L78" s="4"/>
      <c r="M78" s="4" t="str">
        <f aca="false">IF(L78="","",IF(L78&lt;F78,"UNDER low est",IF(L78&gt;G78,"OVER high est","within range")))</f>
        <v/>
      </c>
    </row>
    <row r="79" customFormat="false" ht="15" hidden="false" customHeight="true" outlineLevel="0" collapsed="false">
      <c r="A79" s="4" t="n">
        <v>79</v>
      </c>
      <c r="B79" s="6" t="s">
        <v>16</v>
      </c>
      <c r="C79" s="5" t="s">
        <v>306</v>
      </c>
      <c r="D79" s="5" t="s">
        <v>306</v>
      </c>
      <c r="E79" s="4" t="s">
        <v>236</v>
      </c>
      <c r="F79" s="8" t="n">
        <v>40</v>
      </c>
      <c r="G79" s="8" t="n">
        <v>150</v>
      </c>
      <c r="H79" s="4" t="s">
        <v>233</v>
      </c>
      <c r="I79" s="4"/>
      <c r="J79" s="4"/>
      <c r="K79" s="4"/>
      <c r="L79" s="4"/>
      <c r="M79" s="4" t="str">
        <f aca="false">IF(L79="","",IF(L79&lt;F79,"UNDER low est",IF(L79&gt;G79,"OVER high est","within range")))</f>
        <v/>
      </c>
    </row>
    <row r="80" customFormat="false" ht="15" hidden="false" customHeight="true" outlineLevel="0" collapsed="false">
      <c r="A80" s="4" t="n">
        <v>80</v>
      </c>
      <c r="B80" s="6" t="s">
        <v>16</v>
      </c>
      <c r="C80" s="5" t="s">
        <v>307</v>
      </c>
      <c r="D80" s="5" t="s">
        <v>307</v>
      </c>
      <c r="E80" s="4" t="s">
        <v>236</v>
      </c>
      <c r="F80" s="8" t="n">
        <v>60</v>
      </c>
      <c r="G80" s="8" t="n">
        <v>200</v>
      </c>
      <c r="H80" s="4" t="s">
        <v>233</v>
      </c>
      <c r="I80" s="4"/>
      <c r="J80" s="4"/>
      <c r="K80" s="4"/>
      <c r="L80" s="4"/>
      <c r="M80" s="4" t="str">
        <f aca="false">IF(L80="","",IF(L80&lt;F80,"UNDER low est",IF(L80&gt;G80,"OVER high est","within range")))</f>
        <v/>
      </c>
    </row>
    <row r="81" customFormat="false" ht="15" hidden="false" customHeight="true" outlineLevel="0" collapsed="false">
      <c r="A81" s="4" t="n">
        <v>81</v>
      </c>
      <c r="B81" s="6" t="s">
        <v>16</v>
      </c>
      <c r="C81" s="5" t="s">
        <v>308</v>
      </c>
      <c r="D81" s="5" t="s">
        <v>308</v>
      </c>
      <c r="E81" s="4" t="s">
        <v>59</v>
      </c>
      <c r="F81" s="8" t="n">
        <v>25</v>
      </c>
      <c r="G81" s="8" t="n">
        <v>90</v>
      </c>
      <c r="H81" s="4" t="s">
        <v>233</v>
      </c>
      <c r="I81" s="4"/>
      <c r="J81" s="4"/>
      <c r="K81" s="4"/>
      <c r="L81" s="4"/>
      <c r="M81" s="4" t="str">
        <f aca="false">IF(L81="","",IF(L81&lt;F81,"UNDER low est",IF(L81&gt;G81,"OVER high est","within range")))</f>
        <v/>
      </c>
    </row>
    <row r="82" customFormat="false" ht="23.25" hidden="false" customHeight="true" outlineLevel="0" collapsed="false">
      <c r="A82" s="4" t="n">
        <v>82</v>
      </c>
      <c r="B82" s="6" t="s">
        <v>16</v>
      </c>
      <c r="C82" s="17" t="s">
        <v>241</v>
      </c>
      <c r="D82" s="17" t="s">
        <v>309</v>
      </c>
      <c r="E82" s="4" t="s">
        <v>59</v>
      </c>
      <c r="F82" s="8" t="n">
        <v>100</v>
      </c>
      <c r="G82" s="8" t="n">
        <v>400</v>
      </c>
      <c r="H82" s="4" t="s">
        <v>243</v>
      </c>
      <c r="I82" s="16" t="s">
        <v>234</v>
      </c>
      <c r="J82" s="4"/>
      <c r="K82" s="4"/>
      <c r="L82" s="4"/>
      <c r="M82" s="4" t="str">
        <f aca="false">IF(L82="","",IF(L82&lt;F82,"UNDER low est",IF(L82&gt;G82,"OVER high est","within range")))</f>
        <v/>
      </c>
    </row>
    <row r="83" customFormat="false" ht="15" hidden="false" customHeight="true" outlineLevel="0" collapsed="false">
      <c r="A83" s="4" t="n">
        <v>83</v>
      </c>
      <c r="B83" s="6" t="s">
        <v>16</v>
      </c>
      <c r="C83" s="5" t="s">
        <v>310</v>
      </c>
      <c r="D83" s="5" t="s">
        <v>310</v>
      </c>
      <c r="E83" s="4" t="s">
        <v>239</v>
      </c>
      <c r="F83" s="8" t="n">
        <v>10</v>
      </c>
      <c r="G83" s="8" t="n">
        <v>50</v>
      </c>
      <c r="H83" s="4" t="s">
        <v>243</v>
      </c>
      <c r="I83" s="4"/>
      <c r="J83" s="4"/>
      <c r="K83" s="4"/>
      <c r="L83" s="4"/>
      <c r="M83" s="4" t="str">
        <f aca="false">IF(L83="","",IF(L83&lt;F83,"UNDER low est",IF(L83&gt;G83,"OVER high est","within range")))</f>
        <v/>
      </c>
    </row>
    <row r="84" customFormat="false" ht="15" hidden="false" customHeight="true" outlineLevel="0" collapsed="false">
      <c r="A84" s="4" t="n">
        <v>84</v>
      </c>
      <c r="B84" s="6" t="s">
        <v>16</v>
      </c>
      <c r="C84" s="5" t="s">
        <v>311</v>
      </c>
      <c r="D84" s="5" t="s">
        <v>311</v>
      </c>
      <c r="E84" s="4" t="s">
        <v>59</v>
      </c>
      <c r="F84" s="8" t="n">
        <v>10</v>
      </c>
      <c r="G84" s="8" t="n">
        <v>50</v>
      </c>
      <c r="H84" s="4" t="s">
        <v>243</v>
      </c>
      <c r="I84" s="16" t="s">
        <v>234</v>
      </c>
      <c r="J84" s="4"/>
      <c r="K84" s="4"/>
      <c r="L84" s="4"/>
      <c r="M84" s="4" t="str">
        <f aca="false">IF(L84="","",IF(L84&lt;F84,"UNDER low est",IF(L84&gt;G84,"OVER high est","within range")))</f>
        <v/>
      </c>
    </row>
    <row r="85" customFormat="false" ht="23.25" hidden="false" customHeight="true" outlineLevel="0" collapsed="false">
      <c r="A85" s="4" t="n">
        <v>85</v>
      </c>
      <c r="B85" s="6" t="s">
        <v>16</v>
      </c>
      <c r="C85" s="17" t="s">
        <v>241</v>
      </c>
      <c r="D85" s="17" t="s">
        <v>312</v>
      </c>
      <c r="E85" s="4" t="s">
        <v>236</v>
      </c>
      <c r="F85" s="8" t="n">
        <v>75</v>
      </c>
      <c r="G85" s="8" t="n">
        <v>300</v>
      </c>
      <c r="H85" s="4" t="s">
        <v>243</v>
      </c>
      <c r="I85" s="16" t="s">
        <v>234</v>
      </c>
      <c r="J85" s="4"/>
      <c r="K85" s="4"/>
      <c r="L85" s="4"/>
      <c r="M85" s="4" t="str">
        <f aca="false">IF(L85="","",IF(L85&lt;F85,"UNDER low est",IF(L85&gt;G85,"OVER high est","within range")))</f>
        <v/>
      </c>
    </row>
    <row r="86" customFormat="false" ht="15" hidden="false" customHeight="true" outlineLevel="0" collapsed="false">
      <c r="A86" s="4" t="n">
        <v>86</v>
      </c>
      <c r="B86" s="6" t="s">
        <v>16</v>
      </c>
      <c r="C86" s="17" t="s">
        <v>241</v>
      </c>
      <c r="D86" s="17" t="s">
        <v>313</v>
      </c>
      <c r="E86" s="4" t="s">
        <v>236</v>
      </c>
      <c r="F86" s="8" t="n">
        <v>75</v>
      </c>
      <c r="G86" s="8" t="n">
        <v>300</v>
      </c>
      <c r="H86" s="4" t="s">
        <v>243</v>
      </c>
      <c r="I86" s="16" t="s">
        <v>234</v>
      </c>
      <c r="J86" s="4"/>
      <c r="K86" s="4"/>
      <c r="L86" s="4"/>
      <c r="M86" s="4" t="str">
        <f aca="false">IF(L86="","",IF(L86&lt;F86,"UNDER low est",IF(L86&gt;G86,"OVER high est","within range")))</f>
        <v/>
      </c>
    </row>
    <row r="87" customFormat="false" ht="15" hidden="false" customHeight="true" outlineLevel="0" collapsed="false">
      <c r="A87" s="4" t="n">
        <v>87</v>
      </c>
      <c r="B87" s="6" t="s">
        <v>16</v>
      </c>
      <c r="C87" s="5" t="s">
        <v>314</v>
      </c>
      <c r="D87" s="5" t="s">
        <v>314</v>
      </c>
      <c r="E87" s="4" t="s">
        <v>236</v>
      </c>
      <c r="F87" s="8" t="n">
        <v>50</v>
      </c>
      <c r="G87" s="8" t="n">
        <v>150</v>
      </c>
      <c r="H87" s="4" t="s">
        <v>233</v>
      </c>
      <c r="I87" s="4"/>
      <c r="J87" s="4"/>
      <c r="K87" s="4"/>
      <c r="L87" s="4"/>
      <c r="M87" s="4" t="str">
        <f aca="false">IF(L87="","",IF(L87&lt;F87,"UNDER low est",IF(L87&gt;G87,"OVER high est","within range")))</f>
        <v/>
      </c>
    </row>
    <row r="88" customFormat="false" ht="15" hidden="false" customHeight="true" outlineLevel="0" collapsed="false">
      <c r="A88" s="4" t="n">
        <v>88</v>
      </c>
      <c r="B88" s="6" t="s">
        <v>16</v>
      </c>
      <c r="C88" s="5" t="s">
        <v>315</v>
      </c>
      <c r="D88" s="5" t="s">
        <v>315</v>
      </c>
      <c r="E88" s="4" t="s">
        <v>237</v>
      </c>
      <c r="F88" s="8" t="n">
        <v>100</v>
      </c>
      <c r="G88" s="8" t="n">
        <v>300</v>
      </c>
      <c r="H88" s="4" t="s">
        <v>233</v>
      </c>
      <c r="I88" s="16" t="s">
        <v>234</v>
      </c>
      <c r="J88" s="4"/>
      <c r="K88" s="4"/>
      <c r="L88" s="4"/>
      <c r="M88" s="4" t="str">
        <f aca="false">IF(L88="","",IF(L88&lt;F88,"UNDER low est",IF(L88&gt;G88,"OVER high est","within range")))</f>
        <v/>
      </c>
    </row>
    <row r="89" customFormat="false" ht="15" hidden="false" customHeight="true" outlineLevel="0" collapsed="false">
      <c r="A89" s="4" t="n">
        <v>89</v>
      </c>
      <c r="B89" s="6" t="s">
        <v>16</v>
      </c>
      <c r="C89" s="5" t="s">
        <v>58</v>
      </c>
      <c r="D89" s="5" t="s">
        <v>58</v>
      </c>
      <c r="E89" s="4" t="s">
        <v>59</v>
      </c>
      <c r="F89" s="8" t="n">
        <v>150</v>
      </c>
      <c r="G89" s="8" t="n">
        <v>400</v>
      </c>
      <c r="H89" s="4" t="s">
        <v>233</v>
      </c>
      <c r="I89" s="16" t="s">
        <v>234</v>
      </c>
      <c r="J89" s="4"/>
      <c r="K89" s="4"/>
      <c r="L89" s="4"/>
      <c r="M89" s="4" t="str">
        <f aca="false">IF(L89="","",IF(L89&lt;F89,"UNDER low est",IF(L89&gt;G89,"OVER high est","within range")))</f>
        <v/>
      </c>
    </row>
    <row r="90" customFormat="false" ht="15" hidden="false" customHeight="true" outlineLevel="0" collapsed="false">
      <c r="A90" s="4" t="n">
        <v>90</v>
      </c>
      <c r="B90" s="6" t="s">
        <v>16</v>
      </c>
      <c r="C90" s="17" t="s">
        <v>241</v>
      </c>
      <c r="D90" s="17" t="s">
        <v>316</v>
      </c>
      <c r="E90" s="4" t="s">
        <v>237</v>
      </c>
      <c r="F90" s="8" t="n">
        <v>40</v>
      </c>
      <c r="G90" s="8" t="n">
        <v>120</v>
      </c>
      <c r="H90" s="4" t="s">
        <v>243</v>
      </c>
      <c r="I90" s="4"/>
      <c r="J90" s="4"/>
      <c r="K90" s="4"/>
      <c r="L90" s="4"/>
      <c r="M90" s="4" t="str">
        <f aca="false">IF(L90="","",IF(L90&lt;F90,"UNDER low est",IF(L90&gt;G90,"OVER high est","within range")))</f>
        <v/>
      </c>
    </row>
    <row r="91" customFormat="false" ht="15" hidden="false" customHeight="true" outlineLevel="0" collapsed="false">
      <c r="A91" s="4" t="n">
        <v>91</v>
      </c>
      <c r="B91" s="6" t="s">
        <v>16</v>
      </c>
      <c r="C91" s="5" t="s">
        <v>317</v>
      </c>
      <c r="D91" s="5" t="s">
        <v>317</v>
      </c>
      <c r="E91" s="4" t="s">
        <v>237</v>
      </c>
      <c r="F91" s="8" t="n">
        <v>40</v>
      </c>
      <c r="G91" s="8" t="n">
        <v>200</v>
      </c>
      <c r="H91" s="4" t="s">
        <v>233</v>
      </c>
      <c r="I91" s="4"/>
      <c r="J91" s="4"/>
      <c r="K91" s="4"/>
      <c r="L91" s="4"/>
      <c r="M91" s="4" t="str">
        <f aca="false">IF(L91="","",IF(L91&lt;F91,"UNDER low est",IF(L91&gt;G91,"OVER high est","within range")))</f>
        <v/>
      </c>
    </row>
    <row r="92" customFormat="false" ht="15" hidden="false" customHeight="true" outlineLevel="0" collapsed="false">
      <c r="A92" s="4" t="n">
        <v>92</v>
      </c>
      <c r="B92" s="6" t="s">
        <v>16</v>
      </c>
      <c r="C92" s="17" t="s">
        <v>241</v>
      </c>
      <c r="D92" s="17" t="s">
        <v>318</v>
      </c>
      <c r="E92" s="4" t="s">
        <v>237</v>
      </c>
      <c r="F92" s="8" t="n">
        <v>40</v>
      </c>
      <c r="G92" s="8" t="n">
        <v>200</v>
      </c>
      <c r="H92" s="4" t="s">
        <v>243</v>
      </c>
      <c r="I92" s="4"/>
      <c r="J92" s="4"/>
      <c r="K92" s="4"/>
      <c r="L92" s="4"/>
      <c r="M92" s="4" t="str">
        <f aca="false">IF(L92="","",IF(L92&lt;F92,"UNDER low est",IF(L92&gt;G92,"OVER high est","within range")))</f>
        <v/>
      </c>
    </row>
    <row r="93" customFormat="false" ht="15" hidden="false" customHeight="true" outlineLevel="0" collapsed="false">
      <c r="A93" s="4" t="n">
        <v>94</v>
      </c>
      <c r="B93" s="6" t="s">
        <v>16</v>
      </c>
      <c r="C93" s="5" t="s">
        <v>143</v>
      </c>
      <c r="D93" s="5" t="s">
        <v>143</v>
      </c>
      <c r="E93" s="4" t="s">
        <v>237</v>
      </c>
      <c r="F93" s="8" t="n">
        <v>40</v>
      </c>
      <c r="G93" s="8" t="n">
        <v>200</v>
      </c>
      <c r="H93" s="4" t="s">
        <v>233</v>
      </c>
      <c r="I93" s="16" t="s">
        <v>234</v>
      </c>
      <c r="J93" s="4"/>
      <c r="K93" s="4"/>
      <c r="L93" s="4"/>
      <c r="M93" s="4" t="str">
        <f aca="false">IF(L93="","",IF(L93&lt;F93,"UNDER low est",IF(L93&gt;G93,"OVER high est","within range")))</f>
        <v/>
      </c>
    </row>
    <row r="94" customFormat="false" ht="15" hidden="false" customHeight="true" outlineLevel="0" collapsed="false">
      <c r="A94" s="4" t="n">
        <v>95</v>
      </c>
      <c r="B94" s="6" t="s">
        <v>16</v>
      </c>
      <c r="C94" s="17" t="s">
        <v>241</v>
      </c>
      <c r="D94" s="17" t="s">
        <v>319</v>
      </c>
      <c r="E94" s="4" t="s">
        <v>237</v>
      </c>
      <c r="F94" s="8" t="n">
        <v>40</v>
      </c>
      <c r="G94" s="8" t="n">
        <v>200</v>
      </c>
      <c r="H94" s="4" t="s">
        <v>243</v>
      </c>
      <c r="I94" s="4"/>
      <c r="J94" s="4"/>
      <c r="K94" s="4"/>
      <c r="L94" s="4"/>
      <c r="M94" s="4" t="str">
        <f aca="false">IF(L94="","",IF(L94&lt;F94,"UNDER low est",IF(L94&gt;G94,"OVER high est","within range")))</f>
        <v/>
      </c>
    </row>
    <row r="95" customFormat="false" ht="15" hidden="false" customHeight="true" outlineLevel="0" collapsed="false">
      <c r="A95" s="4" t="n">
        <v>96</v>
      </c>
      <c r="B95" s="6" t="s">
        <v>16</v>
      </c>
      <c r="C95" s="17" t="s">
        <v>241</v>
      </c>
      <c r="D95" s="17" t="s">
        <v>320</v>
      </c>
      <c r="E95" s="4" t="s">
        <v>237</v>
      </c>
      <c r="F95" s="8" t="n">
        <v>40</v>
      </c>
      <c r="G95" s="8" t="n">
        <v>200</v>
      </c>
      <c r="H95" s="4" t="s">
        <v>243</v>
      </c>
      <c r="I95" s="4"/>
      <c r="J95" s="4"/>
      <c r="K95" s="4"/>
      <c r="L95" s="4"/>
      <c r="M95" s="4" t="str">
        <f aca="false">IF(L95="","",IF(L95&lt;F95,"UNDER low est",IF(L95&gt;G95,"OVER high est","within range")))</f>
        <v/>
      </c>
    </row>
    <row r="96" customFormat="false" ht="15" hidden="false" customHeight="true" outlineLevel="0" collapsed="false">
      <c r="A96" s="4" t="n">
        <v>97</v>
      </c>
      <c r="B96" s="6" t="s">
        <v>16</v>
      </c>
      <c r="C96" s="5" t="s">
        <v>144</v>
      </c>
      <c r="D96" s="5" t="s">
        <v>144</v>
      </c>
      <c r="E96" s="4" t="s">
        <v>237</v>
      </c>
      <c r="F96" s="8" t="n">
        <v>40</v>
      </c>
      <c r="G96" s="8" t="n">
        <v>200</v>
      </c>
      <c r="H96" s="4" t="s">
        <v>233</v>
      </c>
      <c r="I96" s="16" t="s">
        <v>234</v>
      </c>
      <c r="J96" s="4"/>
      <c r="K96" s="4"/>
      <c r="L96" s="4"/>
      <c r="M96" s="4" t="str">
        <f aca="false">IF(L96="","",IF(L96&lt;F96,"UNDER low est",IF(L96&gt;G96,"OVER high est","within range")))</f>
        <v/>
      </c>
    </row>
    <row r="97" customFormat="false" ht="15" hidden="false" customHeight="true" outlineLevel="0" collapsed="false">
      <c r="A97" s="4" t="n">
        <v>98</v>
      </c>
      <c r="B97" s="6" t="s">
        <v>16</v>
      </c>
      <c r="C97" s="5" t="s">
        <v>148</v>
      </c>
      <c r="D97" s="5" t="s">
        <v>148</v>
      </c>
      <c r="E97" s="4" t="s">
        <v>237</v>
      </c>
      <c r="F97" s="8" t="n">
        <v>40</v>
      </c>
      <c r="G97" s="8" t="n">
        <v>100</v>
      </c>
      <c r="H97" s="4" t="s">
        <v>233</v>
      </c>
      <c r="I97" s="16" t="s">
        <v>234</v>
      </c>
      <c r="J97" s="4"/>
      <c r="K97" s="4"/>
      <c r="L97" s="4"/>
      <c r="M97" s="4" t="str">
        <f aca="false">IF(L97="","",IF(L97&lt;F97,"UNDER low est",IF(L97&gt;G97,"OVER high est","within range")))</f>
        <v/>
      </c>
    </row>
    <row r="98" customFormat="false" ht="15" hidden="false" customHeight="true" outlineLevel="0" collapsed="false">
      <c r="A98" s="4" t="n">
        <v>99</v>
      </c>
      <c r="B98" s="6" t="s">
        <v>16</v>
      </c>
      <c r="C98" s="5" t="s">
        <v>149</v>
      </c>
      <c r="D98" s="5" t="s">
        <v>149</v>
      </c>
      <c r="E98" s="4" t="s">
        <v>237</v>
      </c>
      <c r="F98" s="8" t="n">
        <v>45</v>
      </c>
      <c r="G98" s="8" t="n">
        <v>90</v>
      </c>
      <c r="H98" s="4" t="s">
        <v>233</v>
      </c>
      <c r="I98" s="16" t="s">
        <v>234</v>
      </c>
      <c r="J98" s="4"/>
      <c r="K98" s="4"/>
      <c r="L98" s="4"/>
      <c r="M98" s="4" t="str">
        <f aca="false">IF(L98="","",IF(L98&lt;F98,"UNDER low est",IF(L98&gt;G98,"OVER high est","within range")))</f>
        <v/>
      </c>
    </row>
    <row r="99" customFormat="false" ht="15" hidden="false" customHeight="true" outlineLevel="0" collapsed="false">
      <c r="A99" s="4" t="n">
        <v>100</v>
      </c>
      <c r="B99" s="6" t="s">
        <v>16</v>
      </c>
      <c r="C99" s="5" t="s">
        <v>145</v>
      </c>
      <c r="D99" s="5" t="s">
        <v>145</v>
      </c>
      <c r="E99" s="4" t="s">
        <v>237</v>
      </c>
      <c r="F99" s="8" t="n">
        <v>40</v>
      </c>
      <c r="G99" s="8" t="n">
        <v>200</v>
      </c>
      <c r="H99" s="4" t="s">
        <v>233</v>
      </c>
      <c r="I99" s="16" t="s">
        <v>234</v>
      </c>
      <c r="J99" s="4"/>
      <c r="K99" s="4"/>
      <c r="L99" s="4"/>
      <c r="M99" s="4" t="str">
        <f aca="false">IF(L99="","",IF(L99&lt;F99,"UNDER low est",IF(L99&gt;G99,"OVER high est","within range")))</f>
        <v/>
      </c>
    </row>
    <row r="100" customFormat="false" ht="15" hidden="false" customHeight="true" outlineLevel="0" collapsed="false">
      <c r="A100" s="4" t="n">
        <v>101</v>
      </c>
      <c r="B100" s="6" t="s">
        <v>16</v>
      </c>
      <c r="C100" s="5" t="s">
        <v>321</v>
      </c>
      <c r="D100" s="5" t="s">
        <v>321</v>
      </c>
      <c r="E100" s="4" t="s">
        <v>281</v>
      </c>
      <c r="F100" s="8" t="n">
        <v>25</v>
      </c>
      <c r="G100" s="8" t="n">
        <v>200</v>
      </c>
      <c r="H100" s="4" t="s">
        <v>233</v>
      </c>
      <c r="I100" s="16" t="s">
        <v>234</v>
      </c>
      <c r="J100" s="4"/>
      <c r="K100" s="4"/>
      <c r="L100" s="4"/>
      <c r="M100" s="4" t="str">
        <f aca="false">IF(L100="","",IF(L100&lt;F100,"UNDER low est",IF(L100&gt;G100,"OVER high est","within range")))</f>
        <v/>
      </c>
    </row>
    <row r="101" customFormat="false" ht="15" hidden="false" customHeight="true" outlineLevel="0" collapsed="false">
      <c r="A101" s="4" t="n">
        <v>102</v>
      </c>
      <c r="B101" s="6" t="s">
        <v>16</v>
      </c>
      <c r="C101" s="5" t="s">
        <v>322</v>
      </c>
      <c r="D101" s="5" t="s">
        <v>322</v>
      </c>
      <c r="E101" s="4" t="s">
        <v>239</v>
      </c>
      <c r="F101" s="8" t="n">
        <v>40</v>
      </c>
      <c r="G101" s="8" t="n">
        <v>120</v>
      </c>
      <c r="H101" s="4" t="s">
        <v>233</v>
      </c>
      <c r="I101" s="16" t="s">
        <v>234</v>
      </c>
      <c r="J101" s="4"/>
      <c r="K101" s="4"/>
      <c r="L101" s="4"/>
      <c r="M101" s="4" t="str">
        <f aca="false">IF(L101="","",IF(L101&lt;F101,"UNDER low est",IF(L101&gt;G101,"OVER high est","within range")))</f>
        <v/>
      </c>
    </row>
    <row r="102" customFormat="false" ht="23.25" hidden="false" customHeight="true" outlineLevel="0" collapsed="false">
      <c r="A102" s="4" t="n">
        <v>103</v>
      </c>
      <c r="B102" s="6" t="s">
        <v>16</v>
      </c>
      <c r="C102" s="17" t="s">
        <v>241</v>
      </c>
      <c r="D102" s="17" t="s">
        <v>323</v>
      </c>
      <c r="E102" s="4" t="s">
        <v>239</v>
      </c>
      <c r="F102" s="8" t="n">
        <v>40</v>
      </c>
      <c r="G102" s="8" t="n">
        <v>120</v>
      </c>
      <c r="H102" s="4" t="s">
        <v>243</v>
      </c>
      <c r="I102" s="4"/>
      <c r="J102" s="4"/>
      <c r="K102" s="4"/>
      <c r="L102" s="4"/>
      <c r="M102" s="4" t="str">
        <f aca="false">IF(L102="","",IF(L102&lt;F102,"UNDER low est",IF(L102&gt;G102,"OVER high est","within range")))</f>
        <v/>
      </c>
    </row>
    <row r="103" customFormat="false" ht="15" hidden="false" customHeight="true" outlineLevel="0" collapsed="false">
      <c r="A103" s="4" t="n">
        <v>104</v>
      </c>
      <c r="B103" s="6" t="s">
        <v>16</v>
      </c>
      <c r="C103" s="5" t="s">
        <v>324</v>
      </c>
      <c r="D103" s="5" t="s">
        <v>324</v>
      </c>
      <c r="E103" s="4" t="s">
        <v>237</v>
      </c>
      <c r="F103" s="8" t="n">
        <v>30</v>
      </c>
      <c r="G103" s="8" t="n">
        <v>120</v>
      </c>
      <c r="H103" s="4" t="s">
        <v>233</v>
      </c>
      <c r="I103" s="4"/>
      <c r="J103" s="4"/>
      <c r="K103" s="4"/>
      <c r="L103" s="4"/>
      <c r="M103" s="4" t="str">
        <f aca="false">IF(L103="","",IF(L103&lt;F103,"UNDER low est",IF(L103&gt;G103,"OVER high est","within range")))</f>
        <v/>
      </c>
    </row>
    <row r="104" customFormat="false" ht="15" hidden="false" customHeight="true" outlineLevel="0" collapsed="false">
      <c r="A104" s="4" t="n">
        <v>105</v>
      </c>
      <c r="B104" s="6" t="s">
        <v>16</v>
      </c>
      <c r="C104" s="5" t="s">
        <v>325</v>
      </c>
      <c r="D104" s="5" t="s">
        <v>325</v>
      </c>
      <c r="E104" s="4" t="s">
        <v>274</v>
      </c>
      <c r="F104" s="8" t="n">
        <v>20</v>
      </c>
      <c r="G104" s="8" t="n">
        <v>80</v>
      </c>
      <c r="H104" s="4" t="s">
        <v>233</v>
      </c>
      <c r="I104" s="4"/>
      <c r="J104" s="4"/>
      <c r="K104" s="4"/>
      <c r="L104" s="4"/>
      <c r="M104" s="4" t="str">
        <f aca="false">IF(L104="","",IF(L104&lt;F104,"UNDER low est",IF(L104&gt;G104,"OVER high est","within range")))</f>
        <v/>
      </c>
    </row>
    <row r="105" customFormat="false" ht="15" hidden="false" customHeight="true" outlineLevel="0" collapsed="false">
      <c r="A105" s="4" t="n">
        <v>106</v>
      </c>
      <c r="B105" s="6" t="s">
        <v>16</v>
      </c>
      <c r="C105" s="17" t="s">
        <v>241</v>
      </c>
      <c r="D105" s="17" t="s">
        <v>326</v>
      </c>
      <c r="E105" s="4" t="s">
        <v>274</v>
      </c>
      <c r="F105" s="8" t="n">
        <v>20</v>
      </c>
      <c r="G105" s="8" t="n">
        <v>80</v>
      </c>
      <c r="H105" s="4" t="s">
        <v>243</v>
      </c>
      <c r="I105" s="4"/>
      <c r="J105" s="4"/>
      <c r="K105" s="4"/>
      <c r="L105" s="4"/>
      <c r="M105" s="4" t="str">
        <f aca="false">IF(L105="","",IF(L105&lt;F105,"UNDER low est",IF(L105&gt;G105,"OVER high est","within range")))</f>
        <v/>
      </c>
    </row>
    <row r="106" customFormat="false" ht="15" hidden="false" customHeight="true" outlineLevel="0" collapsed="false">
      <c r="A106" s="4" t="n">
        <v>107</v>
      </c>
      <c r="B106" s="6" t="s">
        <v>16</v>
      </c>
      <c r="C106" s="5" t="s">
        <v>327</v>
      </c>
      <c r="D106" s="5" t="s">
        <v>327</v>
      </c>
      <c r="E106" s="4" t="s">
        <v>239</v>
      </c>
      <c r="F106" s="8" t="n">
        <v>10</v>
      </c>
      <c r="G106" s="8" t="n">
        <v>50</v>
      </c>
      <c r="H106" s="4" t="s">
        <v>243</v>
      </c>
      <c r="I106" s="4"/>
      <c r="J106" s="4"/>
      <c r="K106" s="4"/>
      <c r="L106" s="4"/>
      <c r="M106" s="4" t="str">
        <f aca="false">IF(L106="","",IF(L106&lt;F106,"UNDER low est",IF(L106&gt;G106,"OVER high est","within range")))</f>
        <v/>
      </c>
    </row>
    <row r="107" customFormat="false" ht="15" hidden="false" customHeight="true" outlineLevel="0" collapsed="false">
      <c r="A107" s="4" t="n">
        <v>108</v>
      </c>
      <c r="B107" s="6" t="s">
        <v>16</v>
      </c>
      <c r="C107" s="5" t="s">
        <v>328</v>
      </c>
      <c r="D107" s="5" t="s">
        <v>328</v>
      </c>
      <c r="E107" s="4" t="s">
        <v>237</v>
      </c>
      <c r="F107" s="8" t="n">
        <v>20</v>
      </c>
      <c r="G107" s="8" t="n">
        <v>80</v>
      </c>
      <c r="H107" s="4" t="s">
        <v>233</v>
      </c>
      <c r="I107" s="4"/>
      <c r="J107" s="4"/>
      <c r="K107" s="4"/>
      <c r="L107" s="4"/>
      <c r="M107" s="4" t="str">
        <f aca="false">IF(L107="","",IF(L107&lt;F107,"UNDER low est",IF(L107&gt;G107,"OVER high est","within range")))</f>
        <v/>
      </c>
    </row>
    <row r="108" customFormat="false" ht="15" hidden="false" customHeight="true" outlineLevel="0" collapsed="false">
      <c r="A108" s="4" t="n">
        <v>109</v>
      </c>
      <c r="B108" s="6" t="s">
        <v>16</v>
      </c>
      <c r="C108" s="5" t="s">
        <v>329</v>
      </c>
      <c r="D108" s="5" t="s">
        <v>329</v>
      </c>
      <c r="E108" s="4" t="s">
        <v>237</v>
      </c>
      <c r="F108" s="8" t="n">
        <v>40</v>
      </c>
      <c r="G108" s="8" t="n">
        <v>200</v>
      </c>
      <c r="H108" s="4" t="s">
        <v>233</v>
      </c>
      <c r="I108" s="16" t="s">
        <v>234</v>
      </c>
      <c r="J108" s="4"/>
      <c r="K108" s="4"/>
      <c r="L108" s="4"/>
      <c r="M108" s="4" t="str">
        <f aca="false">IF(L108="","",IF(L108&lt;F108,"UNDER low est",IF(L108&gt;G108,"OVER high est","within range")))</f>
        <v/>
      </c>
    </row>
    <row r="109" customFormat="false" ht="23.25" hidden="false" customHeight="true" outlineLevel="0" collapsed="false">
      <c r="A109" s="4" t="n">
        <v>110</v>
      </c>
      <c r="B109" s="6" t="s">
        <v>16</v>
      </c>
      <c r="C109" s="17" t="s">
        <v>241</v>
      </c>
      <c r="D109" s="17" t="s">
        <v>330</v>
      </c>
      <c r="E109" s="4" t="s">
        <v>237</v>
      </c>
      <c r="F109" s="8" t="n">
        <v>40</v>
      </c>
      <c r="G109" s="8" t="n">
        <v>200</v>
      </c>
      <c r="H109" s="4" t="s">
        <v>243</v>
      </c>
      <c r="I109" s="4"/>
      <c r="J109" s="4"/>
      <c r="K109" s="4"/>
      <c r="L109" s="4"/>
      <c r="M109" s="4" t="str">
        <f aca="false">IF(L109="","",IF(L109&lt;F109,"UNDER low est",IF(L109&gt;G109,"OVER high est","within range")))</f>
        <v/>
      </c>
    </row>
    <row r="110" customFormat="false" ht="15" hidden="false" customHeight="true" outlineLevel="0" collapsed="false">
      <c r="A110" s="4" t="n">
        <v>111</v>
      </c>
      <c r="B110" s="6" t="s">
        <v>16</v>
      </c>
      <c r="C110" s="5" t="s">
        <v>331</v>
      </c>
      <c r="D110" s="5" t="s">
        <v>331</v>
      </c>
      <c r="E110" s="4" t="s">
        <v>237</v>
      </c>
      <c r="F110" s="8" t="n">
        <v>50</v>
      </c>
      <c r="G110" s="8" t="n">
        <v>150</v>
      </c>
      <c r="H110" s="4" t="s">
        <v>233</v>
      </c>
      <c r="I110" s="4"/>
      <c r="J110" s="4"/>
      <c r="K110" s="4"/>
      <c r="L110" s="4"/>
      <c r="M110" s="4" t="str">
        <f aca="false">IF(L110="","",IF(L110&lt;F110,"UNDER low est",IF(L110&gt;G110,"OVER high est","within range")))</f>
        <v/>
      </c>
    </row>
    <row r="111" customFormat="false" ht="15" hidden="false" customHeight="true" outlineLevel="0" collapsed="false">
      <c r="A111" s="4" t="n">
        <v>112</v>
      </c>
      <c r="B111" s="6" t="s">
        <v>16</v>
      </c>
      <c r="C111" s="5" t="s">
        <v>332</v>
      </c>
      <c r="D111" s="5" t="s">
        <v>332</v>
      </c>
      <c r="E111" s="4" t="s">
        <v>237</v>
      </c>
      <c r="F111" s="8" t="n">
        <v>15</v>
      </c>
      <c r="G111" s="8" t="n">
        <v>60</v>
      </c>
      <c r="H111" s="4" t="s">
        <v>233</v>
      </c>
      <c r="I111" s="4"/>
      <c r="J111" s="4"/>
      <c r="K111" s="4"/>
      <c r="L111" s="4"/>
      <c r="M111" s="4" t="str">
        <f aca="false">IF(L111="","",IF(L111&lt;F111,"UNDER low est",IF(L111&gt;G111,"OVER high est","within range")))</f>
        <v/>
      </c>
    </row>
    <row r="112" customFormat="false" ht="15" hidden="false" customHeight="true" outlineLevel="0" collapsed="false">
      <c r="A112" s="4" t="n">
        <v>113</v>
      </c>
      <c r="B112" s="6" t="s">
        <v>16</v>
      </c>
      <c r="C112" s="5" t="s">
        <v>333</v>
      </c>
      <c r="D112" s="5" t="s">
        <v>333</v>
      </c>
      <c r="E112" s="4" t="s">
        <v>237</v>
      </c>
      <c r="F112" s="8" t="n">
        <v>15</v>
      </c>
      <c r="G112" s="8" t="n">
        <v>60</v>
      </c>
      <c r="H112" s="4" t="s">
        <v>233</v>
      </c>
      <c r="I112" s="4"/>
      <c r="J112" s="4"/>
      <c r="K112" s="4"/>
      <c r="L112" s="4"/>
      <c r="M112" s="4" t="str">
        <f aca="false">IF(L112="","",IF(L112&lt;F112,"UNDER low est",IF(L112&gt;G112,"OVER high est","within range")))</f>
        <v/>
      </c>
    </row>
    <row r="113" customFormat="false" ht="15" hidden="false" customHeight="true" outlineLevel="0" collapsed="false">
      <c r="A113" s="4" t="n">
        <v>114</v>
      </c>
      <c r="B113" s="6" t="s">
        <v>16</v>
      </c>
      <c r="C113" s="5" t="s">
        <v>334</v>
      </c>
      <c r="D113" s="5" t="s">
        <v>334</v>
      </c>
      <c r="E113" s="4" t="s">
        <v>281</v>
      </c>
      <c r="F113" s="8" t="n">
        <v>25</v>
      </c>
      <c r="G113" s="8" t="n">
        <v>150</v>
      </c>
      <c r="H113" s="4" t="s">
        <v>233</v>
      </c>
      <c r="I113" s="4"/>
      <c r="J113" s="4"/>
      <c r="K113" s="4"/>
      <c r="L113" s="4"/>
      <c r="M113" s="4" t="str">
        <f aca="false">IF(L113="","",IF(L113&lt;F113,"UNDER low est",IF(L113&gt;G113,"OVER high est","within range")))</f>
        <v/>
      </c>
    </row>
    <row r="114" customFormat="false" ht="15" hidden="false" customHeight="true" outlineLevel="0" collapsed="false">
      <c r="A114" s="4" t="n">
        <v>115</v>
      </c>
      <c r="B114" s="6" t="s">
        <v>16</v>
      </c>
      <c r="C114" s="5" t="s">
        <v>335</v>
      </c>
      <c r="D114" s="5" t="s">
        <v>335</v>
      </c>
      <c r="E114" s="4" t="s">
        <v>239</v>
      </c>
      <c r="F114" s="8" t="n">
        <v>10</v>
      </c>
      <c r="G114" s="8" t="n">
        <v>50</v>
      </c>
      <c r="H114" s="4" t="s">
        <v>243</v>
      </c>
      <c r="I114" s="4"/>
      <c r="J114" s="4"/>
      <c r="K114" s="4"/>
      <c r="L114" s="4"/>
      <c r="M114" s="4" t="str">
        <f aca="false">IF(L114="","",IF(L114&lt;F114,"UNDER low est",IF(L114&gt;G114,"OVER high est","within range")))</f>
        <v/>
      </c>
    </row>
    <row r="115" customFormat="false" ht="15" hidden="false" customHeight="true" outlineLevel="0" collapsed="false">
      <c r="A115" s="4" t="n">
        <v>116</v>
      </c>
      <c r="B115" s="6" t="s">
        <v>16</v>
      </c>
      <c r="C115" s="5" t="s">
        <v>336</v>
      </c>
      <c r="D115" s="5" t="s">
        <v>336</v>
      </c>
      <c r="E115" s="4" t="s">
        <v>239</v>
      </c>
      <c r="F115" s="8" t="n">
        <v>10</v>
      </c>
      <c r="G115" s="8" t="n">
        <v>50</v>
      </c>
      <c r="H115" s="4" t="s">
        <v>243</v>
      </c>
      <c r="I115" s="4"/>
      <c r="J115" s="4"/>
      <c r="K115" s="4"/>
      <c r="L115" s="4"/>
      <c r="M115" s="4" t="str">
        <f aca="false">IF(L115="","",IF(L115&lt;F115,"UNDER low est",IF(L115&gt;G115,"OVER high est","within range")))</f>
        <v/>
      </c>
    </row>
    <row r="116" customFormat="false" ht="15" hidden="false" customHeight="true" outlineLevel="0" collapsed="false">
      <c r="A116" s="4" t="n">
        <v>117</v>
      </c>
      <c r="B116" s="6" t="s">
        <v>16</v>
      </c>
      <c r="C116" s="5" t="s">
        <v>337</v>
      </c>
      <c r="D116" s="5" t="s">
        <v>337</v>
      </c>
      <c r="E116" s="4" t="s">
        <v>237</v>
      </c>
      <c r="F116" s="8" t="n">
        <v>20</v>
      </c>
      <c r="G116" s="8" t="n">
        <v>80</v>
      </c>
      <c r="H116" s="4" t="s">
        <v>233</v>
      </c>
      <c r="I116" s="4"/>
      <c r="J116" s="4"/>
      <c r="K116" s="4"/>
      <c r="L116" s="4"/>
      <c r="M116" s="4" t="str">
        <f aca="false">IF(L116="","",IF(L116&lt;F116,"UNDER low est",IF(L116&gt;G116,"OVER high est","within range")))</f>
        <v/>
      </c>
    </row>
    <row r="117" customFormat="false" ht="15" hidden="false" customHeight="true" outlineLevel="0" collapsed="false">
      <c r="A117" s="4" t="n">
        <v>118</v>
      </c>
      <c r="B117" s="6" t="s">
        <v>16</v>
      </c>
      <c r="C117" s="17" t="s">
        <v>241</v>
      </c>
      <c r="D117" s="17" t="s">
        <v>338</v>
      </c>
      <c r="E117" s="4" t="s">
        <v>237</v>
      </c>
      <c r="F117" s="8" t="n">
        <v>20</v>
      </c>
      <c r="G117" s="8" t="n">
        <v>80</v>
      </c>
      <c r="H117" s="4" t="s">
        <v>243</v>
      </c>
      <c r="I117" s="4"/>
      <c r="J117" s="4"/>
      <c r="K117" s="4"/>
      <c r="L117" s="4"/>
      <c r="M117" s="4" t="str">
        <f aca="false">IF(L117="","",IF(L117&lt;F117,"UNDER low est",IF(L117&gt;G117,"OVER high est","within range")))</f>
        <v/>
      </c>
    </row>
    <row r="118" customFormat="false" ht="15" hidden="false" customHeight="true" outlineLevel="0" collapsed="false">
      <c r="A118" s="4" t="n">
        <v>119</v>
      </c>
      <c r="B118" s="6" t="s">
        <v>16</v>
      </c>
      <c r="C118" s="5" t="s">
        <v>339</v>
      </c>
      <c r="D118" s="5" t="s">
        <v>339</v>
      </c>
      <c r="E118" s="4" t="s">
        <v>239</v>
      </c>
      <c r="F118" s="8" t="n">
        <v>10</v>
      </c>
      <c r="G118" s="8" t="n">
        <v>50</v>
      </c>
      <c r="H118" s="4" t="s">
        <v>243</v>
      </c>
      <c r="I118" s="4"/>
      <c r="J118" s="4"/>
      <c r="K118" s="4"/>
      <c r="L118" s="4"/>
      <c r="M118" s="4" t="str">
        <f aca="false">IF(L118="","",IF(L118&lt;F118,"UNDER low est",IF(L118&gt;G118,"OVER high est","within range")))</f>
        <v/>
      </c>
    </row>
    <row r="119" customFormat="false" ht="15" hidden="false" customHeight="true" outlineLevel="0" collapsed="false">
      <c r="A119" s="4" t="n">
        <v>120</v>
      </c>
      <c r="B119" s="6" t="s">
        <v>16</v>
      </c>
      <c r="C119" s="5" t="s">
        <v>340</v>
      </c>
      <c r="D119" s="5" t="s">
        <v>340</v>
      </c>
      <c r="E119" s="4" t="s">
        <v>237</v>
      </c>
      <c r="F119" s="8" t="n">
        <v>10</v>
      </c>
      <c r="G119" s="8" t="n">
        <v>40</v>
      </c>
      <c r="H119" s="4" t="s">
        <v>233</v>
      </c>
      <c r="I119" s="4"/>
      <c r="J119" s="4"/>
      <c r="K119" s="4"/>
      <c r="L119" s="4"/>
      <c r="M119" s="4" t="str">
        <f aca="false">IF(L119="","",IF(L119&lt;F119,"UNDER low est",IF(L119&gt;G119,"OVER high est","within range")))</f>
        <v/>
      </c>
    </row>
    <row r="120" customFormat="false" ht="15" hidden="false" customHeight="true" outlineLevel="0" collapsed="false">
      <c r="A120" s="4" t="n">
        <v>121</v>
      </c>
      <c r="B120" s="6" t="s">
        <v>16</v>
      </c>
      <c r="C120" s="5" t="s">
        <v>341</v>
      </c>
      <c r="D120" s="5" t="s">
        <v>341</v>
      </c>
      <c r="E120" s="4" t="s">
        <v>237</v>
      </c>
      <c r="F120" s="8" t="n">
        <v>50</v>
      </c>
      <c r="G120" s="8" t="n">
        <v>120</v>
      </c>
      <c r="H120" s="4" t="s">
        <v>233</v>
      </c>
      <c r="I120" s="4"/>
      <c r="J120" s="4"/>
      <c r="K120" s="4"/>
      <c r="L120" s="4"/>
      <c r="M120" s="4" t="str">
        <f aca="false">IF(L120="","",IF(L120&lt;F120,"UNDER low est",IF(L120&gt;G120,"OVER high est","within range")))</f>
        <v/>
      </c>
    </row>
    <row r="121" customFormat="false" ht="15" hidden="false" customHeight="true" outlineLevel="0" collapsed="false">
      <c r="A121" s="4" t="n">
        <v>122</v>
      </c>
      <c r="B121" s="6" t="s">
        <v>16</v>
      </c>
      <c r="C121" s="5" t="s">
        <v>342</v>
      </c>
      <c r="D121" s="5" t="s">
        <v>342</v>
      </c>
      <c r="E121" s="4" t="s">
        <v>239</v>
      </c>
      <c r="F121" s="8" t="n">
        <v>10</v>
      </c>
      <c r="G121" s="8" t="n">
        <v>50</v>
      </c>
      <c r="H121" s="4" t="s">
        <v>243</v>
      </c>
      <c r="I121" s="4"/>
      <c r="J121" s="4"/>
      <c r="K121" s="4"/>
      <c r="L121" s="4"/>
      <c r="M121" s="4" t="str">
        <f aca="false">IF(L121="","",IF(L121&lt;F121,"UNDER low est",IF(L121&gt;G121,"OVER high est","within range")))</f>
        <v/>
      </c>
    </row>
    <row r="122" customFormat="false" ht="15" hidden="false" customHeight="true" outlineLevel="0" collapsed="false">
      <c r="A122" s="4" t="n">
        <v>123</v>
      </c>
      <c r="B122" s="6" t="s">
        <v>16</v>
      </c>
      <c r="C122" s="5" t="s">
        <v>343</v>
      </c>
      <c r="D122" s="5" t="s">
        <v>343</v>
      </c>
      <c r="E122" s="4" t="s">
        <v>236</v>
      </c>
      <c r="F122" s="8" t="n">
        <v>40</v>
      </c>
      <c r="G122" s="8" t="n">
        <v>150</v>
      </c>
      <c r="H122" s="4" t="s">
        <v>233</v>
      </c>
      <c r="I122" s="4"/>
      <c r="J122" s="4"/>
      <c r="K122" s="4"/>
      <c r="L122" s="4"/>
      <c r="M122" s="4" t="str">
        <f aca="false">IF(L122="","",IF(L122&lt;F122,"UNDER low est",IF(L122&gt;G122,"OVER high est","within range")))</f>
        <v/>
      </c>
    </row>
    <row r="123" customFormat="false" ht="15" hidden="false" customHeight="true" outlineLevel="0" collapsed="false">
      <c r="A123" s="4" t="n">
        <v>124</v>
      </c>
      <c r="B123" s="6" t="s">
        <v>16</v>
      </c>
      <c r="C123" s="5" t="s">
        <v>344</v>
      </c>
      <c r="D123" s="5" t="s">
        <v>344</v>
      </c>
      <c r="E123" s="4" t="s">
        <v>236</v>
      </c>
      <c r="F123" s="8" t="n">
        <v>40</v>
      </c>
      <c r="G123" s="8" t="n">
        <v>150</v>
      </c>
      <c r="H123" s="4" t="s">
        <v>233</v>
      </c>
      <c r="I123" s="4"/>
      <c r="J123" s="4"/>
      <c r="K123" s="4"/>
      <c r="L123" s="4"/>
      <c r="M123" s="4" t="str">
        <f aca="false">IF(L123="","",IF(L123&lt;F123,"UNDER low est",IF(L123&gt;G123,"OVER high est","within range")))</f>
        <v/>
      </c>
    </row>
    <row r="124" customFormat="false" ht="15" hidden="false" customHeight="true" outlineLevel="0" collapsed="false">
      <c r="A124" s="4" t="n">
        <v>125</v>
      </c>
      <c r="B124" s="6" t="s">
        <v>16</v>
      </c>
      <c r="C124" s="5" t="s">
        <v>345</v>
      </c>
      <c r="D124" s="5" t="s">
        <v>345</v>
      </c>
      <c r="E124" s="4" t="s">
        <v>299</v>
      </c>
      <c r="F124" s="8" t="n">
        <v>10</v>
      </c>
      <c r="G124" s="8" t="n">
        <v>50</v>
      </c>
      <c r="H124" s="4" t="s">
        <v>243</v>
      </c>
      <c r="I124" s="4"/>
      <c r="J124" s="4"/>
      <c r="K124" s="4"/>
      <c r="L124" s="4"/>
      <c r="M124" s="4" t="str">
        <f aca="false">IF(L124="","",IF(L124&lt;F124,"UNDER low est",IF(L124&gt;G124,"OVER high est","within range")))</f>
        <v/>
      </c>
    </row>
    <row r="125" customFormat="false" ht="15" hidden="false" customHeight="true" outlineLevel="0" collapsed="false">
      <c r="A125" s="4" t="n">
        <v>126</v>
      </c>
      <c r="B125" s="6" t="s">
        <v>16</v>
      </c>
      <c r="C125" s="5" t="s">
        <v>346</v>
      </c>
      <c r="D125" s="5" t="s">
        <v>346</v>
      </c>
      <c r="E125" s="4" t="s">
        <v>299</v>
      </c>
      <c r="F125" s="8" t="n">
        <v>15</v>
      </c>
      <c r="G125" s="8" t="n">
        <v>60</v>
      </c>
      <c r="H125" s="4" t="s">
        <v>233</v>
      </c>
      <c r="I125" s="4"/>
      <c r="J125" s="4"/>
      <c r="K125" s="4"/>
      <c r="L125" s="4"/>
      <c r="M125" s="4" t="str">
        <f aca="false">IF(L125="","",IF(L125&lt;F125,"UNDER low est",IF(L125&gt;G125,"OVER high est","within range")))</f>
        <v/>
      </c>
    </row>
    <row r="126" customFormat="false" ht="15" hidden="false" customHeight="true" outlineLevel="0" collapsed="false">
      <c r="A126" s="4" t="n">
        <v>127</v>
      </c>
      <c r="B126" s="6" t="s">
        <v>16</v>
      </c>
      <c r="C126" s="5" t="s">
        <v>347</v>
      </c>
      <c r="D126" s="5" t="s">
        <v>347</v>
      </c>
      <c r="E126" s="4" t="s">
        <v>239</v>
      </c>
      <c r="F126" s="8" t="n">
        <v>10</v>
      </c>
      <c r="G126" s="8" t="n">
        <v>50</v>
      </c>
      <c r="H126" s="4" t="s">
        <v>243</v>
      </c>
      <c r="I126" s="4"/>
      <c r="J126" s="4"/>
      <c r="K126" s="4"/>
      <c r="L126" s="4"/>
      <c r="M126" s="4" t="str">
        <f aca="false">IF(L126="","",IF(L126&lt;F126,"UNDER low est",IF(L126&gt;G126,"OVER high est","within range")))</f>
        <v/>
      </c>
    </row>
    <row r="127" customFormat="false" ht="15" hidden="false" customHeight="true" outlineLevel="0" collapsed="false">
      <c r="A127" s="4" t="n">
        <v>128</v>
      </c>
      <c r="B127" s="6" t="s">
        <v>16</v>
      </c>
      <c r="C127" s="5" t="s">
        <v>348</v>
      </c>
      <c r="D127" s="5" t="s">
        <v>348</v>
      </c>
      <c r="E127" s="4" t="s">
        <v>299</v>
      </c>
      <c r="F127" s="8" t="n">
        <v>15</v>
      </c>
      <c r="G127" s="8" t="n">
        <v>60</v>
      </c>
      <c r="H127" s="4" t="s">
        <v>233</v>
      </c>
      <c r="I127" s="4"/>
      <c r="J127" s="4"/>
      <c r="K127" s="4"/>
      <c r="L127" s="4"/>
      <c r="M127" s="4" t="str">
        <f aca="false">IF(L127="","",IF(L127&lt;F127,"UNDER low est",IF(L127&gt;G127,"OVER high est","within range")))</f>
        <v/>
      </c>
    </row>
    <row r="128" customFormat="false" ht="15" hidden="false" customHeight="true" outlineLevel="0" collapsed="false">
      <c r="A128" s="4" t="n">
        <v>129</v>
      </c>
      <c r="B128" s="6" t="s">
        <v>16</v>
      </c>
      <c r="C128" s="17" t="s">
        <v>241</v>
      </c>
      <c r="D128" s="17" t="s">
        <v>349</v>
      </c>
      <c r="E128" s="4" t="s">
        <v>299</v>
      </c>
      <c r="F128" s="8" t="n">
        <v>10</v>
      </c>
      <c r="G128" s="8" t="n">
        <v>50</v>
      </c>
      <c r="H128" s="4" t="s">
        <v>275</v>
      </c>
      <c r="I128" s="4"/>
      <c r="J128" s="4"/>
      <c r="K128" s="4"/>
      <c r="L128" s="4"/>
      <c r="M128" s="4" t="str">
        <f aca="false">IF(L128="","",IF(L128&lt;F128,"UNDER low est",IF(L128&gt;G128,"OVER high est","within range")))</f>
        <v/>
      </c>
    </row>
    <row r="129" customFormat="false" ht="15" hidden="false" customHeight="true" outlineLevel="0" collapsed="false">
      <c r="A129" s="4" t="n">
        <v>130</v>
      </c>
      <c r="B129" s="6" t="s">
        <v>16</v>
      </c>
      <c r="C129" s="5" t="s">
        <v>350</v>
      </c>
      <c r="D129" s="5" t="s">
        <v>350</v>
      </c>
      <c r="E129" s="4" t="s">
        <v>239</v>
      </c>
      <c r="F129" s="8" t="n">
        <v>10</v>
      </c>
      <c r="G129" s="8" t="n">
        <v>50</v>
      </c>
      <c r="H129" s="4" t="s">
        <v>243</v>
      </c>
      <c r="I129" s="4"/>
      <c r="J129" s="4"/>
      <c r="K129" s="4"/>
      <c r="L129" s="4"/>
      <c r="M129" s="4" t="str">
        <f aca="false">IF(L129="","",IF(L129&lt;F129,"UNDER low est",IF(L129&gt;G129,"OVER high est","within range")))</f>
        <v/>
      </c>
    </row>
    <row r="130" customFormat="false" ht="15" hidden="false" customHeight="true" outlineLevel="0" collapsed="false">
      <c r="A130" s="4" t="n">
        <v>131</v>
      </c>
      <c r="B130" s="6" t="s">
        <v>16</v>
      </c>
      <c r="C130" s="17" t="s">
        <v>241</v>
      </c>
      <c r="D130" s="17" t="s">
        <v>349</v>
      </c>
      <c r="E130" s="4" t="s">
        <v>299</v>
      </c>
      <c r="F130" s="8" t="n">
        <v>10</v>
      </c>
      <c r="G130" s="8" t="n">
        <v>50</v>
      </c>
      <c r="H130" s="4" t="s">
        <v>275</v>
      </c>
      <c r="I130" s="4"/>
      <c r="J130" s="4"/>
      <c r="K130" s="4"/>
      <c r="L130" s="4"/>
      <c r="M130" s="4" t="str">
        <f aca="false">IF(L130="","",IF(L130&lt;F130,"UNDER low est",IF(L130&gt;G130,"OVER high est","within range")))</f>
        <v/>
      </c>
    </row>
    <row r="131" customFormat="false" ht="15" hidden="false" customHeight="true" outlineLevel="0" collapsed="false">
      <c r="A131" s="4" t="n">
        <v>132</v>
      </c>
      <c r="B131" s="6" t="s">
        <v>16</v>
      </c>
      <c r="C131" s="5" t="s">
        <v>351</v>
      </c>
      <c r="D131" s="5" t="s">
        <v>351</v>
      </c>
      <c r="E131" s="4" t="s">
        <v>299</v>
      </c>
      <c r="F131" s="8" t="n">
        <v>10</v>
      </c>
      <c r="G131" s="8" t="n">
        <v>40</v>
      </c>
      <c r="H131" s="4" t="s">
        <v>233</v>
      </c>
      <c r="I131" s="4"/>
      <c r="J131" s="4"/>
      <c r="K131" s="4"/>
      <c r="L131" s="4"/>
      <c r="M131" s="4" t="str">
        <f aca="false">IF(L131="","",IF(L131&lt;F131,"UNDER low est",IF(L131&gt;G131,"OVER high est","within range")))</f>
        <v/>
      </c>
    </row>
    <row r="132" customFormat="false" ht="15" hidden="false" customHeight="true" outlineLevel="0" collapsed="false">
      <c r="A132" s="4" t="n">
        <v>133</v>
      </c>
      <c r="B132" s="6" t="s">
        <v>16</v>
      </c>
      <c r="C132" s="5" t="s">
        <v>352</v>
      </c>
      <c r="D132" s="5" t="s">
        <v>352</v>
      </c>
      <c r="E132" s="4" t="s">
        <v>299</v>
      </c>
      <c r="F132" s="8" t="n">
        <v>10</v>
      </c>
      <c r="G132" s="8" t="n">
        <v>50</v>
      </c>
      <c r="H132" s="4" t="s">
        <v>243</v>
      </c>
      <c r="I132" s="4"/>
      <c r="J132" s="4"/>
      <c r="K132" s="4"/>
      <c r="L132" s="4"/>
      <c r="M132" s="4" t="str">
        <f aca="false">IF(L132="","",IF(L132&lt;F132,"UNDER low est",IF(L132&gt;G132,"OVER high est","within range")))</f>
        <v/>
      </c>
    </row>
    <row r="133" customFormat="false" ht="15" hidden="false" customHeight="true" outlineLevel="0" collapsed="false">
      <c r="A133" s="4" t="n">
        <v>134</v>
      </c>
      <c r="B133" s="6" t="s">
        <v>16</v>
      </c>
      <c r="C133" s="5" t="s">
        <v>353</v>
      </c>
      <c r="D133" s="5" t="s">
        <v>353</v>
      </c>
      <c r="E133" s="4" t="s">
        <v>19</v>
      </c>
      <c r="F133" s="8" t="n">
        <v>150</v>
      </c>
      <c r="G133" s="8" t="n">
        <v>800</v>
      </c>
      <c r="H133" s="4" t="s">
        <v>233</v>
      </c>
      <c r="I133" s="4"/>
      <c r="J133" s="4"/>
      <c r="K133" s="4"/>
      <c r="L133" s="4"/>
      <c r="M133" s="4" t="str">
        <f aca="false">IF(L133="","",IF(L133&lt;F133,"UNDER low est",IF(L133&gt;G133,"OVER high est","within range")))</f>
        <v/>
      </c>
    </row>
    <row r="134" customFormat="false" ht="15" hidden="false" customHeight="true" outlineLevel="0" collapsed="false">
      <c r="A134" s="4" t="n">
        <v>135</v>
      </c>
      <c r="B134" s="6" t="s">
        <v>16</v>
      </c>
      <c r="C134" s="17" t="s">
        <v>241</v>
      </c>
      <c r="D134" s="17" t="s">
        <v>354</v>
      </c>
      <c r="E134" s="4" t="s">
        <v>237</v>
      </c>
      <c r="F134" s="8" t="n">
        <v>25</v>
      </c>
      <c r="G134" s="8" t="n">
        <v>100</v>
      </c>
      <c r="H134" s="4" t="s">
        <v>243</v>
      </c>
      <c r="I134" s="4"/>
      <c r="J134" s="4"/>
      <c r="K134" s="4"/>
      <c r="L134" s="4"/>
      <c r="M134" s="4" t="str">
        <f aca="false">IF(L134="","",IF(L134&lt;F134,"UNDER low est",IF(L134&gt;G134,"OVER high est","within range")))</f>
        <v/>
      </c>
    </row>
    <row r="135" customFormat="false" ht="15" hidden="false" customHeight="true" outlineLevel="0" collapsed="false">
      <c r="A135" s="4" t="n">
        <v>136</v>
      </c>
      <c r="B135" s="6" t="s">
        <v>16</v>
      </c>
      <c r="C135" s="5" t="s">
        <v>351</v>
      </c>
      <c r="D135" s="5" t="s">
        <v>351</v>
      </c>
      <c r="E135" s="4" t="s">
        <v>299</v>
      </c>
      <c r="F135" s="8" t="n">
        <v>10</v>
      </c>
      <c r="G135" s="8" t="n">
        <v>40</v>
      </c>
      <c r="H135" s="4" t="s">
        <v>233</v>
      </c>
      <c r="I135" s="4"/>
      <c r="J135" s="4"/>
      <c r="K135" s="4"/>
      <c r="L135" s="4"/>
      <c r="M135" s="4" t="str">
        <f aca="false">IF(L135="","",IF(L135&lt;F135,"UNDER low est",IF(L135&gt;G135,"OVER high est","within range")))</f>
        <v/>
      </c>
    </row>
    <row r="136" customFormat="false" ht="15" hidden="false" customHeight="true" outlineLevel="0" collapsed="false">
      <c r="A136" s="4" t="n">
        <v>137</v>
      </c>
      <c r="B136" s="6" t="s">
        <v>16</v>
      </c>
      <c r="C136" s="5" t="s">
        <v>355</v>
      </c>
      <c r="D136" s="5" t="s">
        <v>355</v>
      </c>
      <c r="E136" s="4" t="s">
        <v>239</v>
      </c>
      <c r="F136" s="8" t="n">
        <v>10</v>
      </c>
      <c r="G136" s="8" t="n">
        <v>50</v>
      </c>
      <c r="H136" s="4" t="s">
        <v>243</v>
      </c>
      <c r="I136" s="4"/>
      <c r="J136" s="4"/>
      <c r="K136" s="4"/>
      <c r="L136" s="4"/>
      <c r="M136" s="4" t="str">
        <f aca="false">IF(L136="","",IF(L136&lt;F136,"UNDER low est",IF(L136&gt;G136,"OVER high est","within range")))</f>
        <v/>
      </c>
    </row>
    <row r="137" customFormat="false" ht="15" hidden="false" customHeight="true" outlineLevel="0" collapsed="false">
      <c r="A137" s="4" t="n">
        <v>138</v>
      </c>
      <c r="B137" s="6" t="s">
        <v>16</v>
      </c>
      <c r="C137" s="5" t="s">
        <v>356</v>
      </c>
      <c r="D137" s="5" t="s">
        <v>356</v>
      </c>
      <c r="E137" s="4" t="s">
        <v>239</v>
      </c>
      <c r="F137" s="8" t="n">
        <v>10</v>
      </c>
      <c r="G137" s="8" t="n">
        <v>50</v>
      </c>
      <c r="H137" s="4" t="s">
        <v>243</v>
      </c>
      <c r="I137" s="4"/>
      <c r="J137" s="4"/>
      <c r="K137" s="4"/>
      <c r="L137" s="4"/>
      <c r="M137" s="4" t="str">
        <f aca="false">IF(L137="","",IF(L137&lt;F137,"UNDER low est",IF(L137&gt;G137,"OVER high est","within range")))</f>
        <v/>
      </c>
    </row>
    <row r="138" customFormat="false" ht="15" hidden="false" customHeight="true" outlineLevel="0" collapsed="false">
      <c r="A138" s="4" t="n">
        <v>139</v>
      </c>
      <c r="B138" s="6" t="s">
        <v>16</v>
      </c>
      <c r="C138" s="5" t="s">
        <v>73</v>
      </c>
      <c r="D138" s="5" t="s">
        <v>73</v>
      </c>
      <c r="E138" s="4" t="s">
        <v>59</v>
      </c>
      <c r="F138" s="8" t="n">
        <v>50</v>
      </c>
      <c r="G138" s="8" t="n">
        <v>150</v>
      </c>
      <c r="H138" s="4" t="s">
        <v>233</v>
      </c>
      <c r="I138" s="16" t="s">
        <v>234</v>
      </c>
      <c r="J138" s="4"/>
      <c r="K138" s="4"/>
      <c r="L138" s="4"/>
      <c r="M138" s="4" t="str">
        <f aca="false">IF(L138="","",IF(L138&lt;F138,"UNDER low est",IF(L138&gt;G138,"OVER high est","within range")))</f>
        <v/>
      </c>
    </row>
    <row r="139" customFormat="false" ht="15" hidden="false" customHeight="true" outlineLevel="0" collapsed="false">
      <c r="A139" s="4" t="n">
        <v>140</v>
      </c>
      <c r="B139" s="6" t="s">
        <v>16</v>
      </c>
      <c r="C139" s="5" t="s">
        <v>357</v>
      </c>
      <c r="D139" s="5" t="s">
        <v>357</v>
      </c>
      <c r="E139" s="4" t="s">
        <v>299</v>
      </c>
      <c r="F139" s="8" t="n">
        <v>10</v>
      </c>
      <c r="G139" s="8" t="n">
        <v>50</v>
      </c>
      <c r="H139" s="4" t="s">
        <v>243</v>
      </c>
      <c r="I139" s="4"/>
      <c r="J139" s="4"/>
      <c r="K139" s="4"/>
      <c r="L139" s="4"/>
      <c r="M139" s="4" t="str">
        <f aca="false">IF(L139="","",IF(L139&lt;F139,"UNDER low est",IF(L139&gt;G139,"OVER high est","within range")))</f>
        <v/>
      </c>
    </row>
    <row r="140" customFormat="false" ht="15" hidden="false" customHeight="true" outlineLevel="0" collapsed="false">
      <c r="A140" s="4" t="n">
        <v>141</v>
      </c>
      <c r="B140" s="6" t="s">
        <v>16</v>
      </c>
      <c r="C140" s="5" t="s">
        <v>358</v>
      </c>
      <c r="D140" s="5" t="s">
        <v>358</v>
      </c>
      <c r="E140" s="4" t="s">
        <v>239</v>
      </c>
      <c r="F140" s="8" t="n">
        <v>10</v>
      </c>
      <c r="G140" s="8" t="n">
        <v>50</v>
      </c>
      <c r="H140" s="4" t="s">
        <v>243</v>
      </c>
      <c r="I140" s="4"/>
      <c r="J140" s="4"/>
      <c r="K140" s="4"/>
      <c r="L140" s="4"/>
      <c r="M140" s="4" t="str">
        <f aca="false">IF(L140="","",IF(L140&lt;F140,"UNDER low est",IF(L140&gt;G140,"OVER high est","within range")))</f>
        <v/>
      </c>
    </row>
    <row r="141" customFormat="false" ht="15" hidden="false" customHeight="true" outlineLevel="0" collapsed="false">
      <c r="A141" s="4" t="n">
        <v>142</v>
      </c>
      <c r="B141" s="6" t="s">
        <v>16</v>
      </c>
      <c r="C141" s="5" t="s">
        <v>359</v>
      </c>
      <c r="D141" s="5" t="s">
        <v>359</v>
      </c>
      <c r="E141" s="4" t="s">
        <v>236</v>
      </c>
      <c r="F141" s="8" t="n">
        <v>40</v>
      </c>
      <c r="G141" s="8" t="n">
        <v>150</v>
      </c>
      <c r="H141" s="4" t="s">
        <v>233</v>
      </c>
      <c r="I141" s="4"/>
      <c r="J141" s="4"/>
      <c r="K141" s="4"/>
      <c r="L141" s="4"/>
      <c r="M141" s="4" t="str">
        <f aca="false">IF(L141="","",IF(L141&lt;F141,"UNDER low est",IF(L141&gt;G141,"OVER high est","within range")))</f>
        <v/>
      </c>
    </row>
    <row r="142" customFormat="false" ht="15" hidden="false" customHeight="true" outlineLevel="0" collapsed="false">
      <c r="A142" s="4" t="n">
        <v>143</v>
      </c>
      <c r="B142" s="6" t="s">
        <v>16</v>
      </c>
      <c r="C142" s="5" t="s">
        <v>360</v>
      </c>
      <c r="D142" s="5" t="s">
        <v>360</v>
      </c>
      <c r="E142" s="4" t="s">
        <v>239</v>
      </c>
      <c r="F142" s="8" t="n">
        <v>10</v>
      </c>
      <c r="G142" s="8" t="n">
        <v>50</v>
      </c>
      <c r="H142" s="4" t="s">
        <v>243</v>
      </c>
      <c r="I142" s="4"/>
      <c r="J142" s="4"/>
      <c r="K142" s="4"/>
      <c r="L142" s="4"/>
      <c r="M142" s="4" t="str">
        <f aca="false">IF(L142="","",IF(L142&lt;F142,"UNDER low est",IF(L142&gt;G142,"OVER high est","within range")))</f>
        <v/>
      </c>
    </row>
    <row r="143" customFormat="false" ht="15" hidden="false" customHeight="true" outlineLevel="0" collapsed="false">
      <c r="A143" s="4" t="n">
        <v>144</v>
      </c>
      <c r="B143" s="6" t="s">
        <v>16</v>
      </c>
      <c r="C143" s="5" t="s">
        <v>361</v>
      </c>
      <c r="D143" s="5" t="s">
        <v>361</v>
      </c>
      <c r="E143" s="4" t="s">
        <v>271</v>
      </c>
      <c r="F143" s="8" t="n">
        <v>10</v>
      </c>
      <c r="G143" s="8" t="n">
        <v>50</v>
      </c>
      <c r="H143" s="4" t="s">
        <v>243</v>
      </c>
      <c r="I143" s="4"/>
      <c r="J143" s="4"/>
      <c r="K143" s="4"/>
      <c r="L143" s="4"/>
      <c r="M143" s="4" t="str">
        <f aca="false">IF(L143="","",IF(L143&lt;F143,"UNDER low est",IF(L143&gt;G143,"OVER high est","within range")))</f>
        <v/>
      </c>
    </row>
    <row r="144" customFormat="false" ht="15" hidden="false" customHeight="true" outlineLevel="0" collapsed="false">
      <c r="A144" s="4" t="n">
        <v>145</v>
      </c>
      <c r="B144" s="6" t="s">
        <v>16</v>
      </c>
      <c r="C144" s="5" t="s">
        <v>362</v>
      </c>
      <c r="D144" s="5" t="s">
        <v>362</v>
      </c>
      <c r="E144" s="4" t="s">
        <v>271</v>
      </c>
      <c r="F144" s="8" t="n">
        <v>10</v>
      </c>
      <c r="G144" s="8" t="n">
        <v>50</v>
      </c>
      <c r="H144" s="4" t="s">
        <v>243</v>
      </c>
      <c r="I144" s="4"/>
      <c r="J144" s="4"/>
      <c r="K144" s="4"/>
      <c r="L144" s="4"/>
      <c r="M144" s="4" t="str">
        <f aca="false">IF(L144="","",IF(L144&lt;F144,"UNDER low est",IF(L144&gt;G144,"OVER high est","within range")))</f>
        <v/>
      </c>
    </row>
    <row r="145" customFormat="false" ht="15" hidden="false" customHeight="true" outlineLevel="0" collapsed="false">
      <c r="A145" s="4" t="n">
        <v>146</v>
      </c>
      <c r="B145" s="6" t="s">
        <v>16</v>
      </c>
      <c r="C145" s="5" t="s">
        <v>363</v>
      </c>
      <c r="D145" s="5" t="s">
        <v>363</v>
      </c>
      <c r="E145" s="4" t="s">
        <v>239</v>
      </c>
      <c r="F145" s="8" t="n">
        <v>150</v>
      </c>
      <c r="G145" s="8" t="n">
        <v>400</v>
      </c>
      <c r="H145" s="4" t="s">
        <v>233</v>
      </c>
      <c r="I145" s="16" t="s">
        <v>234</v>
      </c>
      <c r="J145" s="4"/>
      <c r="K145" s="4"/>
      <c r="L145" s="4"/>
      <c r="M145" s="4" t="str">
        <f aca="false">IF(L145="","",IF(L145&lt;F145,"UNDER low est",IF(L145&gt;G145,"OVER high est","within range")))</f>
        <v/>
      </c>
    </row>
    <row r="146" customFormat="false" ht="15" hidden="false" customHeight="true" outlineLevel="0" collapsed="false">
      <c r="A146" s="4" t="n">
        <v>147</v>
      </c>
      <c r="B146" s="6" t="s">
        <v>16</v>
      </c>
      <c r="C146" s="5" t="s">
        <v>364</v>
      </c>
      <c r="D146" s="5" t="s">
        <v>364</v>
      </c>
      <c r="E146" s="4" t="s">
        <v>274</v>
      </c>
      <c r="F146" s="8" t="n">
        <v>20</v>
      </c>
      <c r="G146" s="8" t="n">
        <v>80</v>
      </c>
      <c r="H146" s="4" t="s">
        <v>233</v>
      </c>
      <c r="I146" s="4"/>
      <c r="J146" s="4"/>
      <c r="K146" s="4"/>
      <c r="L146" s="4"/>
      <c r="M146" s="4" t="str">
        <f aca="false">IF(L146="","",IF(L146&lt;F146,"UNDER low est",IF(L146&gt;G146,"OVER high est","within range")))</f>
        <v/>
      </c>
    </row>
    <row r="147" customFormat="false" ht="15" hidden="false" customHeight="true" outlineLevel="0" collapsed="false">
      <c r="A147" s="4" t="n">
        <v>148</v>
      </c>
      <c r="B147" s="6" t="s">
        <v>16</v>
      </c>
      <c r="C147" s="5" t="s">
        <v>365</v>
      </c>
      <c r="D147" s="5" t="s">
        <v>365</v>
      </c>
      <c r="E147" s="4" t="s">
        <v>274</v>
      </c>
      <c r="F147" s="8" t="n">
        <v>20</v>
      </c>
      <c r="G147" s="8" t="n">
        <v>80</v>
      </c>
      <c r="H147" s="4" t="s">
        <v>233</v>
      </c>
      <c r="I147" s="4"/>
      <c r="J147" s="4"/>
      <c r="K147" s="4"/>
      <c r="L147" s="4"/>
      <c r="M147" s="4" t="str">
        <f aca="false">IF(L147="","",IF(L147&lt;F147,"UNDER low est",IF(L147&gt;G147,"OVER high est","within range")))</f>
        <v/>
      </c>
    </row>
    <row r="148" customFormat="false" ht="15" hidden="false" customHeight="true" outlineLevel="0" collapsed="false">
      <c r="A148" s="4" t="n">
        <v>149</v>
      </c>
      <c r="B148" s="6" t="s">
        <v>16</v>
      </c>
      <c r="C148" s="5" t="s">
        <v>366</v>
      </c>
      <c r="D148" s="5" t="s">
        <v>366</v>
      </c>
      <c r="E148" s="4" t="s">
        <v>299</v>
      </c>
      <c r="F148" s="8" t="n">
        <v>10</v>
      </c>
      <c r="G148" s="8" t="n">
        <v>50</v>
      </c>
      <c r="H148" s="4" t="s">
        <v>243</v>
      </c>
      <c r="I148" s="4"/>
      <c r="J148" s="4"/>
      <c r="K148" s="4"/>
      <c r="L148" s="4"/>
      <c r="M148" s="4" t="str">
        <f aca="false">IF(L148="","",IF(L148&lt;F148,"UNDER low est",IF(L148&gt;G148,"OVER high est","within range")))</f>
        <v/>
      </c>
    </row>
    <row r="149" customFormat="false" ht="15" hidden="false" customHeight="true" outlineLevel="0" collapsed="false">
      <c r="A149" s="4" t="n">
        <v>150</v>
      </c>
      <c r="B149" s="6" t="s">
        <v>16</v>
      </c>
      <c r="C149" s="5" t="s">
        <v>367</v>
      </c>
      <c r="D149" s="5" t="s">
        <v>367</v>
      </c>
      <c r="E149" s="4" t="s">
        <v>108</v>
      </c>
      <c r="F149" s="8" t="n">
        <v>50</v>
      </c>
      <c r="G149" s="8" t="n">
        <v>150</v>
      </c>
      <c r="H149" s="4" t="s">
        <v>233</v>
      </c>
      <c r="I149" s="16" t="s">
        <v>234</v>
      </c>
      <c r="J149" s="4"/>
      <c r="K149" s="4"/>
      <c r="L149" s="4"/>
      <c r="M149" s="4" t="str">
        <f aca="false">IF(L149="","",IF(L149&lt;F149,"UNDER low est",IF(L149&gt;G149,"OVER high est","within range")))</f>
        <v/>
      </c>
    </row>
    <row r="150" customFormat="false" ht="15" hidden="false" customHeight="true" outlineLevel="0" collapsed="false">
      <c r="A150" s="4" t="n">
        <v>151</v>
      </c>
      <c r="B150" s="6" t="s">
        <v>16</v>
      </c>
      <c r="C150" s="5" t="s">
        <v>119</v>
      </c>
      <c r="D150" s="5" t="s">
        <v>119</v>
      </c>
      <c r="E150" s="4" t="s">
        <v>274</v>
      </c>
      <c r="F150" s="8" t="n">
        <v>40</v>
      </c>
      <c r="G150" s="8" t="n">
        <v>90</v>
      </c>
      <c r="H150" s="4" t="s">
        <v>233</v>
      </c>
      <c r="I150" s="16" t="s">
        <v>234</v>
      </c>
      <c r="J150" s="4"/>
      <c r="K150" s="4"/>
      <c r="L150" s="4"/>
      <c r="M150" s="4" t="str">
        <f aca="false">IF(L150="","",IF(L150&lt;F150,"UNDER low est",IF(L150&gt;G150,"OVER high est","within range")))</f>
        <v/>
      </c>
    </row>
    <row r="151" customFormat="false" ht="15" hidden="false" customHeight="true" outlineLevel="0" collapsed="false">
      <c r="A151" s="4" t="n">
        <v>152</v>
      </c>
      <c r="B151" s="6" t="s">
        <v>16</v>
      </c>
      <c r="C151" s="5" t="s">
        <v>368</v>
      </c>
      <c r="D151" s="5" t="s">
        <v>368</v>
      </c>
      <c r="E151" s="4" t="s">
        <v>236</v>
      </c>
      <c r="F151" s="8" t="n">
        <v>60</v>
      </c>
      <c r="G151" s="8" t="n">
        <v>200</v>
      </c>
      <c r="H151" s="4" t="s">
        <v>233</v>
      </c>
      <c r="I151" s="4"/>
      <c r="J151" s="4"/>
      <c r="K151" s="4"/>
      <c r="L151" s="4"/>
      <c r="M151" s="4" t="str">
        <f aca="false">IF(L151="","",IF(L151&lt;F151,"UNDER low est",IF(L151&gt;G151,"OVER high est","within range")))</f>
        <v/>
      </c>
    </row>
    <row r="152" customFormat="false" ht="15" hidden="false" customHeight="true" outlineLevel="0" collapsed="false">
      <c r="A152" s="4" t="n">
        <v>153</v>
      </c>
      <c r="B152" s="6" t="s">
        <v>16</v>
      </c>
      <c r="C152" s="17" t="s">
        <v>241</v>
      </c>
      <c r="D152" s="17" t="s">
        <v>369</v>
      </c>
      <c r="E152" s="4" t="s">
        <v>236</v>
      </c>
      <c r="F152" s="8" t="n">
        <v>40</v>
      </c>
      <c r="G152" s="8" t="n">
        <v>150</v>
      </c>
      <c r="H152" s="4" t="s">
        <v>243</v>
      </c>
      <c r="I152" s="4"/>
      <c r="J152" s="4"/>
      <c r="K152" s="4"/>
      <c r="L152" s="4"/>
      <c r="M152" s="4" t="str">
        <f aca="false">IF(L152="","",IF(L152&lt;F152,"UNDER low est",IF(L152&gt;G152,"OVER high est","within range")))</f>
        <v/>
      </c>
    </row>
    <row r="153" customFormat="false" ht="15" hidden="false" customHeight="true" outlineLevel="0" collapsed="false">
      <c r="A153" s="4" t="n">
        <v>154</v>
      </c>
      <c r="B153" s="6" t="s">
        <v>16</v>
      </c>
      <c r="C153" s="5" t="s">
        <v>370</v>
      </c>
      <c r="D153" s="5" t="s">
        <v>370</v>
      </c>
      <c r="E153" s="4" t="s">
        <v>236</v>
      </c>
      <c r="F153" s="8" t="n">
        <v>10</v>
      </c>
      <c r="G153" s="8" t="n">
        <v>50</v>
      </c>
      <c r="H153" s="4" t="s">
        <v>243</v>
      </c>
      <c r="I153" s="4"/>
      <c r="J153" s="4"/>
      <c r="K153" s="4"/>
      <c r="L153" s="4"/>
      <c r="M153" s="4" t="str">
        <f aca="false">IF(L153="","",IF(L153&lt;F153,"UNDER low est",IF(L153&gt;G153,"OVER high est","within range")))</f>
        <v/>
      </c>
    </row>
    <row r="154" customFormat="false" ht="23.25" hidden="false" customHeight="true" outlineLevel="0" collapsed="false">
      <c r="A154" s="4" t="n">
        <v>155</v>
      </c>
      <c r="B154" s="6" t="s">
        <v>16</v>
      </c>
      <c r="C154" s="17" t="s">
        <v>241</v>
      </c>
      <c r="D154" s="17" t="s">
        <v>371</v>
      </c>
      <c r="E154" s="4" t="s">
        <v>236</v>
      </c>
      <c r="F154" s="8" t="n">
        <v>10</v>
      </c>
      <c r="G154" s="8" t="n">
        <v>50</v>
      </c>
      <c r="H154" s="4" t="s">
        <v>275</v>
      </c>
      <c r="I154" s="4"/>
      <c r="J154" s="4"/>
      <c r="K154" s="4"/>
      <c r="L154" s="4"/>
      <c r="M154" s="4" t="str">
        <f aca="false">IF(L154="","",IF(L154&lt;F154,"UNDER low est",IF(L154&gt;G154,"OVER high est","within range")))</f>
        <v/>
      </c>
    </row>
    <row r="155" customFormat="false" ht="15" hidden="false" customHeight="true" outlineLevel="0" collapsed="false">
      <c r="A155" s="4" t="n">
        <v>156</v>
      </c>
      <c r="B155" s="6" t="s">
        <v>16</v>
      </c>
      <c r="C155" s="5" t="s">
        <v>372</v>
      </c>
      <c r="D155" s="5" t="s">
        <v>372</v>
      </c>
      <c r="E155" s="4" t="s">
        <v>236</v>
      </c>
      <c r="F155" s="8" t="n">
        <v>60</v>
      </c>
      <c r="G155" s="8" t="n">
        <v>150</v>
      </c>
      <c r="H155" s="4" t="s">
        <v>233</v>
      </c>
      <c r="I155" s="4"/>
      <c r="J155" s="4"/>
      <c r="K155" s="4"/>
      <c r="L155" s="4"/>
      <c r="M155" s="4" t="str">
        <f aca="false">IF(L155="","",IF(L155&lt;F155,"UNDER low est",IF(L155&gt;G155,"OVER high est","within range")))</f>
        <v/>
      </c>
    </row>
    <row r="156" customFormat="false" ht="15" hidden="false" customHeight="true" outlineLevel="0" collapsed="false">
      <c r="A156" s="4" t="n">
        <v>157</v>
      </c>
      <c r="B156" s="6" t="s">
        <v>16</v>
      </c>
      <c r="C156" s="5" t="s">
        <v>373</v>
      </c>
      <c r="D156" s="5" t="s">
        <v>373</v>
      </c>
      <c r="E156" s="4" t="s">
        <v>236</v>
      </c>
      <c r="F156" s="8" t="n">
        <v>150</v>
      </c>
      <c r="G156" s="8" t="n">
        <v>300</v>
      </c>
      <c r="H156" s="4" t="s">
        <v>233</v>
      </c>
      <c r="I156" s="16" t="s">
        <v>234</v>
      </c>
      <c r="J156" s="4"/>
      <c r="K156" s="4"/>
      <c r="L156" s="4"/>
      <c r="M156" s="4" t="str">
        <f aca="false">IF(L156="","",IF(L156&lt;F156,"UNDER low est",IF(L156&gt;G156,"OVER high est","within range")))</f>
        <v/>
      </c>
    </row>
    <row r="157" customFormat="false" ht="15" hidden="false" customHeight="true" outlineLevel="0" collapsed="false">
      <c r="A157" s="4" t="n">
        <v>158</v>
      </c>
      <c r="B157" s="6" t="s">
        <v>16</v>
      </c>
      <c r="C157" s="5" t="s">
        <v>70</v>
      </c>
      <c r="D157" s="5" t="s">
        <v>70</v>
      </c>
      <c r="E157" s="4" t="s">
        <v>236</v>
      </c>
      <c r="F157" s="8" t="n">
        <v>60</v>
      </c>
      <c r="G157" s="8" t="n">
        <v>150</v>
      </c>
      <c r="H157" s="4" t="s">
        <v>233</v>
      </c>
      <c r="I157" s="16" t="s">
        <v>234</v>
      </c>
      <c r="J157" s="4"/>
      <c r="K157" s="4"/>
      <c r="L157" s="4"/>
      <c r="M157" s="4" t="str">
        <f aca="false">IF(L157="","",IF(L157&lt;F157,"UNDER low est",IF(L157&gt;G157,"OVER high est","within range")))</f>
        <v/>
      </c>
    </row>
    <row r="158" customFormat="false" ht="15" hidden="false" customHeight="true" outlineLevel="0" collapsed="false">
      <c r="A158" s="4" t="n">
        <v>159</v>
      </c>
      <c r="B158" s="6" t="s">
        <v>16</v>
      </c>
      <c r="C158" s="5" t="s">
        <v>374</v>
      </c>
      <c r="D158" s="5" t="s">
        <v>374</v>
      </c>
      <c r="E158" s="4" t="s">
        <v>236</v>
      </c>
      <c r="F158" s="8" t="n">
        <v>60</v>
      </c>
      <c r="G158" s="8" t="n">
        <v>150</v>
      </c>
      <c r="H158" s="4" t="s">
        <v>233</v>
      </c>
      <c r="I158" s="4"/>
      <c r="J158" s="4"/>
      <c r="K158" s="4"/>
      <c r="L158" s="4"/>
      <c r="M158" s="4" t="str">
        <f aca="false">IF(L158="","",IF(L158&lt;F158,"UNDER low est",IF(L158&gt;G158,"OVER high est","within range")))</f>
        <v/>
      </c>
    </row>
    <row r="159" customFormat="false" ht="15" hidden="false" customHeight="true" outlineLevel="0" collapsed="false">
      <c r="A159" s="4" t="n">
        <v>160</v>
      </c>
      <c r="B159" s="6" t="s">
        <v>16</v>
      </c>
      <c r="C159" s="5" t="s">
        <v>50</v>
      </c>
      <c r="D159" s="5" t="s">
        <v>50</v>
      </c>
      <c r="E159" s="4" t="s">
        <v>236</v>
      </c>
      <c r="F159" s="8" t="n">
        <v>250</v>
      </c>
      <c r="G159" s="8" t="n">
        <v>750</v>
      </c>
      <c r="H159" s="4" t="s">
        <v>233</v>
      </c>
      <c r="I159" s="16" t="s">
        <v>234</v>
      </c>
      <c r="J159" s="4"/>
      <c r="K159" s="4"/>
      <c r="L159" s="4"/>
      <c r="M159" s="4" t="str">
        <f aca="false">IF(L159="","",IF(L159&lt;F159,"UNDER low est",IF(L159&gt;G159,"OVER high est","within range")))</f>
        <v/>
      </c>
    </row>
    <row r="160" customFormat="false" ht="15" hidden="false" customHeight="true" outlineLevel="0" collapsed="false">
      <c r="A160" s="4" t="n">
        <v>161</v>
      </c>
      <c r="B160" s="6" t="s">
        <v>16</v>
      </c>
      <c r="C160" s="5" t="s">
        <v>375</v>
      </c>
      <c r="D160" s="5" t="s">
        <v>375</v>
      </c>
      <c r="E160" s="4" t="s">
        <v>236</v>
      </c>
      <c r="F160" s="8" t="n">
        <v>100</v>
      </c>
      <c r="G160" s="8" t="n">
        <v>300</v>
      </c>
      <c r="H160" s="4" t="s">
        <v>233</v>
      </c>
      <c r="I160" s="4"/>
      <c r="J160" s="4"/>
      <c r="K160" s="4"/>
      <c r="L160" s="4"/>
      <c r="M160" s="4" t="str">
        <f aca="false">IF(L160="","",IF(L160&lt;F160,"UNDER low est",IF(L160&gt;G160,"OVER high est","within range")))</f>
        <v/>
      </c>
    </row>
    <row r="161" customFormat="false" ht="15" hidden="false" customHeight="true" outlineLevel="0" collapsed="false">
      <c r="A161" s="4" t="n">
        <v>162</v>
      </c>
      <c r="B161" s="6" t="s">
        <v>16</v>
      </c>
      <c r="C161" s="5" t="s">
        <v>376</v>
      </c>
      <c r="D161" s="5" t="s">
        <v>376</v>
      </c>
      <c r="E161" s="4" t="s">
        <v>236</v>
      </c>
      <c r="F161" s="8" t="n">
        <v>40</v>
      </c>
      <c r="G161" s="8" t="n">
        <v>150</v>
      </c>
      <c r="H161" s="4" t="s">
        <v>233</v>
      </c>
      <c r="I161" s="4"/>
      <c r="J161" s="4"/>
      <c r="K161" s="4"/>
      <c r="L161" s="4"/>
      <c r="M161" s="4" t="str">
        <f aca="false">IF(L161="","",IF(L161&lt;F161,"UNDER low est",IF(L161&gt;G161,"OVER high est","within range")))</f>
        <v/>
      </c>
    </row>
    <row r="162" customFormat="false" ht="15" hidden="false" customHeight="true" outlineLevel="0" collapsed="false">
      <c r="A162" s="4" t="n">
        <v>163</v>
      </c>
      <c r="B162" s="6" t="s">
        <v>16</v>
      </c>
      <c r="C162" s="5" t="s">
        <v>377</v>
      </c>
      <c r="D162" s="5" t="s">
        <v>377</v>
      </c>
      <c r="E162" s="4" t="s">
        <v>236</v>
      </c>
      <c r="F162" s="8" t="n">
        <v>10</v>
      </c>
      <c r="G162" s="8" t="n">
        <v>50</v>
      </c>
      <c r="H162" s="4" t="s">
        <v>243</v>
      </c>
      <c r="I162" s="4"/>
      <c r="J162" s="4"/>
      <c r="K162" s="4"/>
      <c r="L162" s="4"/>
      <c r="M162" s="4" t="str">
        <f aca="false">IF(L162="","",IF(L162&lt;F162,"UNDER low est",IF(L162&gt;G162,"OVER high est","within range")))</f>
        <v/>
      </c>
    </row>
    <row r="163" customFormat="false" ht="15" hidden="false" customHeight="true" outlineLevel="0" collapsed="false">
      <c r="A163" s="4" t="n">
        <v>164</v>
      </c>
      <c r="B163" s="6" t="s">
        <v>16</v>
      </c>
      <c r="C163" s="5" t="s">
        <v>378</v>
      </c>
      <c r="D163" s="5" t="s">
        <v>378</v>
      </c>
      <c r="E163" s="4" t="s">
        <v>236</v>
      </c>
      <c r="F163" s="8" t="n">
        <v>60</v>
      </c>
      <c r="G163" s="8" t="n">
        <v>200</v>
      </c>
      <c r="H163" s="4" t="s">
        <v>233</v>
      </c>
      <c r="I163" s="4"/>
      <c r="J163" s="4"/>
      <c r="K163" s="4"/>
      <c r="L163" s="4"/>
      <c r="M163" s="4" t="str">
        <f aca="false">IF(L163="","",IF(L163&lt;F163,"UNDER low est",IF(L163&gt;G163,"OVER high est","within range")))</f>
        <v/>
      </c>
    </row>
    <row r="164" customFormat="false" ht="15" hidden="false" customHeight="true" outlineLevel="0" collapsed="false">
      <c r="A164" s="4" t="n">
        <v>165</v>
      </c>
      <c r="B164" s="6" t="s">
        <v>16</v>
      </c>
      <c r="C164" s="5" t="s">
        <v>379</v>
      </c>
      <c r="D164" s="5" t="s">
        <v>379</v>
      </c>
      <c r="E164" s="4" t="s">
        <v>236</v>
      </c>
      <c r="F164" s="8" t="n">
        <v>60</v>
      </c>
      <c r="G164" s="8" t="n">
        <v>200</v>
      </c>
      <c r="H164" s="4" t="s">
        <v>233</v>
      </c>
      <c r="I164" s="4"/>
      <c r="J164" s="4"/>
      <c r="K164" s="4"/>
      <c r="L164" s="4"/>
      <c r="M164" s="4" t="str">
        <f aca="false">IF(L164="","",IF(L164&lt;F164,"UNDER low est",IF(L164&gt;G164,"OVER high est","within range")))</f>
        <v/>
      </c>
    </row>
    <row r="165" customFormat="false" ht="15" hidden="false" customHeight="true" outlineLevel="0" collapsed="false">
      <c r="A165" s="4" t="n">
        <v>166</v>
      </c>
      <c r="B165" s="6" t="s">
        <v>16</v>
      </c>
      <c r="C165" s="5" t="s">
        <v>52</v>
      </c>
      <c r="D165" s="5" t="s">
        <v>52</v>
      </c>
      <c r="E165" s="4" t="s">
        <v>236</v>
      </c>
      <c r="F165" s="8" t="n">
        <v>250</v>
      </c>
      <c r="G165" s="8" t="n">
        <v>750</v>
      </c>
      <c r="H165" s="4" t="s">
        <v>233</v>
      </c>
      <c r="I165" s="16" t="s">
        <v>234</v>
      </c>
      <c r="J165" s="4"/>
      <c r="K165" s="4"/>
      <c r="L165" s="4"/>
      <c r="M165" s="4" t="str">
        <f aca="false">IF(L165="","",IF(L165&lt;F165,"UNDER low est",IF(L165&gt;G165,"OVER high est","within range")))</f>
        <v/>
      </c>
    </row>
    <row r="166" customFormat="false" ht="15" hidden="false" customHeight="true" outlineLevel="0" collapsed="false">
      <c r="A166" s="4" t="n">
        <v>167</v>
      </c>
      <c r="B166" s="6" t="s">
        <v>16</v>
      </c>
      <c r="C166" s="5" t="s">
        <v>380</v>
      </c>
      <c r="D166" s="5" t="s">
        <v>380</v>
      </c>
      <c r="E166" s="4" t="s">
        <v>236</v>
      </c>
      <c r="F166" s="8" t="n">
        <v>100</v>
      </c>
      <c r="G166" s="8" t="n">
        <v>300</v>
      </c>
      <c r="H166" s="4" t="s">
        <v>233</v>
      </c>
      <c r="I166" s="4"/>
      <c r="J166" s="4"/>
      <c r="K166" s="4"/>
      <c r="L166" s="4"/>
      <c r="M166" s="4" t="str">
        <f aca="false">IF(L166="","",IF(L166&lt;F166,"UNDER low est",IF(L166&gt;G166,"OVER high est","within range")))</f>
        <v/>
      </c>
    </row>
    <row r="167" customFormat="false" ht="15" hidden="false" customHeight="true" outlineLevel="0" collapsed="false">
      <c r="A167" s="4" t="n">
        <v>168</v>
      </c>
      <c r="B167" s="6" t="s">
        <v>16</v>
      </c>
      <c r="C167" s="5" t="s">
        <v>71</v>
      </c>
      <c r="D167" s="5" t="s">
        <v>71</v>
      </c>
      <c r="E167" s="4" t="s">
        <v>236</v>
      </c>
      <c r="F167" s="8" t="n">
        <v>60</v>
      </c>
      <c r="G167" s="8" t="n">
        <v>150</v>
      </c>
      <c r="H167" s="4" t="s">
        <v>233</v>
      </c>
      <c r="I167" s="16" t="s">
        <v>234</v>
      </c>
      <c r="J167" s="4"/>
      <c r="K167" s="4"/>
      <c r="L167" s="4"/>
      <c r="M167" s="4" t="str">
        <f aca="false">IF(L167="","",IF(L167&lt;F167,"UNDER low est",IF(L167&gt;G167,"OVER high est","within range")))</f>
        <v/>
      </c>
    </row>
    <row r="168" customFormat="false" ht="15" hidden="false" customHeight="true" outlineLevel="0" collapsed="false">
      <c r="A168" s="4" t="n">
        <v>169</v>
      </c>
      <c r="B168" s="6" t="s">
        <v>16</v>
      </c>
      <c r="C168" s="5" t="s">
        <v>381</v>
      </c>
      <c r="D168" s="5" t="s">
        <v>381</v>
      </c>
      <c r="E168" s="4" t="s">
        <v>236</v>
      </c>
      <c r="F168" s="8" t="n">
        <v>60</v>
      </c>
      <c r="G168" s="8" t="n">
        <v>150</v>
      </c>
      <c r="H168" s="4" t="s">
        <v>233</v>
      </c>
      <c r="I168" s="4"/>
      <c r="J168" s="4"/>
      <c r="K168" s="4"/>
      <c r="L168" s="4"/>
      <c r="M168" s="4" t="str">
        <f aca="false">IF(L168="","",IF(L168&lt;F168,"UNDER low est",IF(L168&gt;G168,"OVER high est","within range")))</f>
        <v/>
      </c>
    </row>
    <row r="169" customFormat="false" ht="15" hidden="false" customHeight="true" outlineLevel="0" collapsed="false">
      <c r="A169" s="4" t="n">
        <v>170</v>
      </c>
      <c r="B169" s="6" t="s">
        <v>16</v>
      </c>
      <c r="C169" s="5" t="s">
        <v>382</v>
      </c>
      <c r="D169" s="5" t="s">
        <v>382</v>
      </c>
      <c r="E169" s="4" t="s">
        <v>236</v>
      </c>
      <c r="F169" s="8" t="n">
        <v>60</v>
      </c>
      <c r="G169" s="8" t="n">
        <v>200</v>
      </c>
      <c r="H169" s="4" t="s">
        <v>233</v>
      </c>
      <c r="I169" s="4"/>
      <c r="J169" s="4"/>
      <c r="K169" s="4"/>
      <c r="L169" s="4"/>
      <c r="M169" s="4" t="str">
        <f aca="false">IF(L169="","",IF(L169&lt;F169,"UNDER low est",IF(L169&gt;G169,"OVER high est","within range")))</f>
        <v/>
      </c>
    </row>
    <row r="170" customFormat="false" ht="15" hidden="false" customHeight="true" outlineLevel="0" collapsed="false">
      <c r="A170" s="4" t="n">
        <v>171</v>
      </c>
      <c r="B170" s="6" t="s">
        <v>16</v>
      </c>
      <c r="C170" s="5" t="s">
        <v>383</v>
      </c>
      <c r="D170" s="5" t="s">
        <v>383</v>
      </c>
      <c r="E170" s="4" t="s">
        <v>236</v>
      </c>
      <c r="F170" s="8" t="n">
        <v>60</v>
      </c>
      <c r="G170" s="8" t="n">
        <v>200</v>
      </c>
      <c r="H170" s="4" t="s">
        <v>233</v>
      </c>
      <c r="I170" s="4"/>
      <c r="J170" s="4"/>
      <c r="K170" s="4"/>
      <c r="L170" s="4"/>
      <c r="M170" s="4" t="str">
        <f aca="false">IF(L170="","",IF(L170&lt;F170,"UNDER low est",IF(L170&gt;G170,"OVER high est","within range")))</f>
        <v/>
      </c>
    </row>
    <row r="171" customFormat="false" ht="15" hidden="false" customHeight="true" outlineLevel="0" collapsed="false">
      <c r="A171" s="4" t="n">
        <v>172</v>
      </c>
      <c r="B171" s="6" t="s">
        <v>16</v>
      </c>
      <c r="C171" s="5" t="s">
        <v>384</v>
      </c>
      <c r="D171" s="5" t="s">
        <v>384</v>
      </c>
      <c r="E171" s="4" t="s">
        <v>239</v>
      </c>
      <c r="F171" s="8" t="n">
        <v>10</v>
      </c>
      <c r="G171" s="8" t="n">
        <v>50</v>
      </c>
      <c r="H171" s="4" t="s">
        <v>243</v>
      </c>
      <c r="I171" s="4"/>
      <c r="J171" s="4"/>
      <c r="K171" s="4"/>
      <c r="L171" s="4"/>
      <c r="M171" s="4" t="str">
        <f aca="false">IF(L171="","",IF(L171&lt;F171,"UNDER low est",IF(L171&gt;G171,"OVER high est","within range")))</f>
        <v/>
      </c>
    </row>
    <row r="172" customFormat="false" ht="15" hidden="false" customHeight="true" outlineLevel="0" collapsed="false">
      <c r="A172" s="4" t="n">
        <v>173</v>
      </c>
      <c r="B172" s="6" t="s">
        <v>16</v>
      </c>
      <c r="C172" s="5" t="s">
        <v>385</v>
      </c>
      <c r="D172" s="5" t="s">
        <v>385</v>
      </c>
      <c r="E172" s="4" t="s">
        <v>239</v>
      </c>
      <c r="F172" s="8" t="n">
        <v>15</v>
      </c>
      <c r="G172" s="8" t="n">
        <v>60</v>
      </c>
      <c r="H172" s="4" t="s">
        <v>233</v>
      </c>
      <c r="I172" s="4"/>
      <c r="J172" s="4"/>
      <c r="K172" s="4"/>
      <c r="L172" s="4"/>
      <c r="M172" s="4" t="str">
        <f aca="false">IF(L172="","",IF(L172&lt;F172,"UNDER low est",IF(L172&gt;G172,"OVER high est","within range")))</f>
        <v/>
      </c>
    </row>
    <row r="173" customFormat="false" ht="15" hidden="false" customHeight="true" outlineLevel="0" collapsed="false">
      <c r="A173" s="4" t="n">
        <v>174</v>
      </c>
      <c r="B173" s="6" t="s">
        <v>16</v>
      </c>
      <c r="C173" s="5" t="s">
        <v>386</v>
      </c>
      <c r="D173" s="5" t="s">
        <v>386</v>
      </c>
      <c r="E173" s="4" t="s">
        <v>239</v>
      </c>
      <c r="F173" s="8" t="n">
        <v>10</v>
      </c>
      <c r="G173" s="8" t="n">
        <v>50</v>
      </c>
      <c r="H173" s="4" t="s">
        <v>243</v>
      </c>
      <c r="I173" s="4"/>
      <c r="J173" s="4"/>
      <c r="K173" s="4"/>
      <c r="L173" s="4"/>
      <c r="M173" s="4" t="str">
        <f aca="false">IF(L173="","",IF(L173&lt;F173,"UNDER low est",IF(L173&gt;G173,"OVER high est","within range")))</f>
        <v/>
      </c>
    </row>
    <row r="174" customFormat="false" ht="15" hidden="false" customHeight="true" outlineLevel="0" collapsed="false">
      <c r="A174" s="4" t="n">
        <v>175</v>
      </c>
      <c r="B174" s="6" t="s">
        <v>16</v>
      </c>
      <c r="C174" s="5" t="s">
        <v>387</v>
      </c>
      <c r="D174" s="5" t="s">
        <v>387</v>
      </c>
      <c r="E174" s="4" t="s">
        <v>236</v>
      </c>
      <c r="F174" s="8" t="n">
        <v>15</v>
      </c>
      <c r="G174" s="8" t="n">
        <v>40</v>
      </c>
      <c r="H174" s="4" t="s">
        <v>233</v>
      </c>
      <c r="I174" s="4"/>
      <c r="J174" s="4"/>
      <c r="K174" s="4"/>
      <c r="L174" s="4"/>
      <c r="M174" s="4" t="str">
        <f aca="false">IF(L174="","",IF(L174&lt;F174,"UNDER low est",IF(L174&gt;G174,"OVER high est","within range")))</f>
        <v/>
      </c>
    </row>
    <row r="175" customFormat="false" ht="15" hidden="false" customHeight="true" outlineLevel="0" collapsed="false">
      <c r="A175" s="4" t="n">
        <v>176</v>
      </c>
      <c r="B175" s="6" t="s">
        <v>16</v>
      </c>
      <c r="C175" s="5" t="s">
        <v>388</v>
      </c>
      <c r="D175" s="5" t="s">
        <v>388</v>
      </c>
      <c r="E175" s="4" t="s">
        <v>299</v>
      </c>
      <c r="F175" s="8" t="n">
        <v>15</v>
      </c>
      <c r="G175" s="8" t="n">
        <v>50</v>
      </c>
      <c r="H175" s="4" t="s">
        <v>233</v>
      </c>
      <c r="I175" s="4"/>
      <c r="J175" s="4"/>
      <c r="K175" s="4"/>
      <c r="L175" s="4"/>
      <c r="M175" s="4" t="str">
        <f aca="false">IF(L175="","",IF(L175&lt;F175,"UNDER low est",IF(L175&gt;G175,"OVER high est","within range")))</f>
        <v/>
      </c>
    </row>
    <row r="176" customFormat="false" ht="15" hidden="false" customHeight="true" outlineLevel="0" collapsed="false">
      <c r="A176" s="4" t="n">
        <v>177</v>
      </c>
      <c r="B176" s="6" t="s">
        <v>16</v>
      </c>
      <c r="C176" s="5" t="s">
        <v>389</v>
      </c>
      <c r="D176" s="5" t="s">
        <v>389</v>
      </c>
      <c r="E176" s="4" t="s">
        <v>299</v>
      </c>
      <c r="F176" s="8" t="n">
        <v>10</v>
      </c>
      <c r="G176" s="8" t="n">
        <v>50</v>
      </c>
      <c r="H176" s="4" t="s">
        <v>243</v>
      </c>
      <c r="I176" s="4"/>
      <c r="J176" s="4"/>
      <c r="K176" s="4"/>
      <c r="L176" s="4"/>
      <c r="M176" s="4" t="str">
        <f aca="false">IF(L176="","",IF(L176&lt;F176,"UNDER low est",IF(L176&gt;G176,"OVER high est","within range")))</f>
        <v/>
      </c>
    </row>
    <row r="177" customFormat="false" ht="15" hidden="false" customHeight="true" outlineLevel="0" collapsed="false">
      <c r="A177" s="4" t="n">
        <v>178</v>
      </c>
      <c r="B177" s="6" t="s">
        <v>16</v>
      </c>
      <c r="C177" s="5" t="s">
        <v>390</v>
      </c>
      <c r="D177" s="5" t="s">
        <v>390</v>
      </c>
      <c r="E177" s="4" t="s">
        <v>239</v>
      </c>
      <c r="F177" s="8" t="n">
        <v>10</v>
      </c>
      <c r="G177" s="8" t="n">
        <v>50</v>
      </c>
      <c r="H177" s="4" t="s">
        <v>243</v>
      </c>
      <c r="I177" s="4"/>
      <c r="J177" s="4"/>
      <c r="K177" s="4"/>
      <c r="L177" s="4"/>
      <c r="M177" s="4" t="str">
        <f aca="false">IF(L177="","",IF(L177&lt;F177,"UNDER low est",IF(L177&gt;G177,"OVER high est","within range")))</f>
        <v/>
      </c>
    </row>
    <row r="178" customFormat="false" ht="15" hidden="false" customHeight="true" outlineLevel="0" collapsed="false">
      <c r="A178" s="4" t="n">
        <v>179</v>
      </c>
      <c r="B178" s="6" t="s">
        <v>16</v>
      </c>
      <c r="C178" s="5" t="s">
        <v>391</v>
      </c>
      <c r="D178" s="5" t="s">
        <v>391</v>
      </c>
      <c r="E178" s="4" t="s">
        <v>239</v>
      </c>
      <c r="F178" s="8" t="n">
        <v>10</v>
      </c>
      <c r="G178" s="8" t="n">
        <v>50</v>
      </c>
      <c r="H178" s="4" t="s">
        <v>243</v>
      </c>
      <c r="I178" s="4"/>
      <c r="J178" s="4"/>
      <c r="K178" s="4"/>
      <c r="L178" s="4"/>
      <c r="M178" s="4" t="str">
        <f aca="false">IF(L178="","",IF(L178&lt;F178,"UNDER low est",IF(L178&gt;G178,"OVER high est","within range")))</f>
        <v/>
      </c>
    </row>
    <row r="179" customFormat="false" ht="15" hidden="false" customHeight="true" outlineLevel="0" collapsed="false">
      <c r="A179" s="4" t="n">
        <v>180</v>
      </c>
      <c r="B179" s="6" t="s">
        <v>16</v>
      </c>
      <c r="C179" s="5" t="s">
        <v>392</v>
      </c>
      <c r="D179" s="5" t="s">
        <v>392</v>
      </c>
      <c r="E179" s="4" t="s">
        <v>239</v>
      </c>
      <c r="F179" s="8" t="n">
        <v>20</v>
      </c>
      <c r="G179" s="8" t="n">
        <v>80</v>
      </c>
      <c r="H179" s="4" t="s">
        <v>233</v>
      </c>
      <c r="I179" s="4"/>
      <c r="J179" s="4"/>
      <c r="K179" s="4"/>
      <c r="L179" s="4"/>
      <c r="M179" s="4" t="str">
        <f aca="false">IF(L179="","",IF(L179&lt;F179,"UNDER low est",IF(L179&gt;G179,"OVER high est","within range")))</f>
        <v/>
      </c>
    </row>
    <row r="180" customFormat="false" ht="15" hidden="false" customHeight="true" outlineLevel="0" collapsed="false">
      <c r="A180" s="4" t="n">
        <v>181</v>
      </c>
      <c r="B180" s="6" t="s">
        <v>16</v>
      </c>
      <c r="C180" s="17" t="s">
        <v>241</v>
      </c>
      <c r="D180" s="17" t="s">
        <v>393</v>
      </c>
      <c r="E180" s="4" t="s">
        <v>239</v>
      </c>
      <c r="F180" s="8" t="n">
        <v>20</v>
      </c>
      <c r="G180" s="8" t="n">
        <v>80</v>
      </c>
      <c r="H180" s="4" t="s">
        <v>243</v>
      </c>
      <c r="I180" s="4"/>
      <c r="J180" s="4"/>
      <c r="K180" s="4"/>
      <c r="L180" s="4"/>
      <c r="M180" s="4" t="str">
        <f aca="false">IF(L180="","",IF(L180&lt;F180,"UNDER low est",IF(L180&gt;G180,"OVER high est","within range")))</f>
        <v/>
      </c>
    </row>
    <row r="181" customFormat="false" ht="15" hidden="false" customHeight="true" outlineLevel="0" collapsed="false">
      <c r="A181" s="4" t="n">
        <v>182</v>
      </c>
      <c r="B181" s="6" t="s">
        <v>16</v>
      </c>
      <c r="C181" s="5" t="s">
        <v>394</v>
      </c>
      <c r="D181" s="5" t="s">
        <v>394</v>
      </c>
      <c r="E181" s="4" t="s">
        <v>239</v>
      </c>
      <c r="F181" s="8" t="n">
        <v>30</v>
      </c>
      <c r="G181" s="8" t="n">
        <v>100</v>
      </c>
      <c r="H181" s="4" t="s">
        <v>233</v>
      </c>
      <c r="I181" s="4"/>
      <c r="J181" s="4"/>
      <c r="K181" s="4"/>
      <c r="L181" s="4"/>
      <c r="M181" s="4" t="str">
        <f aca="false">IF(L181="","",IF(L181&lt;F181,"UNDER low est",IF(L181&gt;G181,"OVER high est","within range")))</f>
        <v/>
      </c>
    </row>
    <row r="182" customFormat="false" ht="15" hidden="false" customHeight="true" outlineLevel="0" collapsed="false">
      <c r="A182" s="4" t="n">
        <v>183</v>
      </c>
      <c r="B182" s="6" t="s">
        <v>16</v>
      </c>
      <c r="C182" s="5" t="s">
        <v>395</v>
      </c>
      <c r="D182" s="5" t="s">
        <v>395</v>
      </c>
      <c r="E182" s="4" t="s">
        <v>81</v>
      </c>
      <c r="F182" s="8" t="n">
        <v>25</v>
      </c>
      <c r="G182" s="8" t="n">
        <v>150</v>
      </c>
      <c r="H182" s="4" t="s">
        <v>233</v>
      </c>
      <c r="I182" s="16" t="s">
        <v>234</v>
      </c>
      <c r="J182" s="4"/>
      <c r="K182" s="4"/>
      <c r="L182" s="4"/>
      <c r="M182" s="4" t="str">
        <f aca="false">IF(L182="","",IF(L182&lt;F182,"UNDER low est",IF(L182&gt;G182,"OVER high est","within range")))</f>
        <v/>
      </c>
    </row>
    <row r="183" customFormat="false" ht="15" hidden="false" customHeight="true" outlineLevel="0" collapsed="false">
      <c r="A183" s="4" t="n">
        <v>184</v>
      </c>
      <c r="B183" s="6" t="s">
        <v>16</v>
      </c>
      <c r="C183" s="17" t="s">
        <v>241</v>
      </c>
      <c r="D183" s="17" t="s">
        <v>396</v>
      </c>
      <c r="E183" s="4" t="s">
        <v>81</v>
      </c>
      <c r="F183" s="8" t="n">
        <v>25</v>
      </c>
      <c r="G183" s="8" t="n">
        <v>150</v>
      </c>
      <c r="H183" s="4" t="s">
        <v>243</v>
      </c>
      <c r="I183" s="16" t="s">
        <v>234</v>
      </c>
      <c r="J183" s="4"/>
      <c r="K183" s="4"/>
      <c r="L183" s="4"/>
      <c r="M183" s="4" t="str">
        <f aca="false">IF(L183="","",IF(L183&lt;F183,"UNDER low est",IF(L183&gt;G183,"OVER high est","within range")))</f>
        <v/>
      </c>
    </row>
    <row r="184" customFormat="false" ht="15" hidden="false" customHeight="true" outlineLevel="0" collapsed="false">
      <c r="A184" s="4" t="n">
        <v>185</v>
      </c>
      <c r="B184" s="6" t="s">
        <v>16</v>
      </c>
      <c r="C184" s="5" t="s">
        <v>395</v>
      </c>
      <c r="D184" s="5" t="s">
        <v>395</v>
      </c>
      <c r="E184" s="4" t="s">
        <v>81</v>
      </c>
      <c r="F184" s="8" t="n">
        <v>25</v>
      </c>
      <c r="G184" s="8" t="n">
        <v>150</v>
      </c>
      <c r="H184" s="4" t="s">
        <v>233</v>
      </c>
      <c r="I184" s="4"/>
      <c r="J184" s="4"/>
      <c r="K184" s="4"/>
      <c r="L184" s="4"/>
      <c r="M184" s="4" t="str">
        <f aca="false">IF(L184="","",IF(L184&lt;F184,"UNDER low est",IF(L184&gt;G184,"OVER high est","within range")))</f>
        <v/>
      </c>
    </row>
    <row r="185" customFormat="false" ht="15" hidden="false" customHeight="true" outlineLevel="0" collapsed="false">
      <c r="A185" s="4" t="n">
        <v>186</v>
      </c>
      <c r="B185" s="6" t="s">
        <v>16</v>
      </c>
      <c r="C185" s="17" t="s">
        <v>241</v>
      </c>
      <c r="D185" s="17" t="s">
        <v>397</v>
      </c>
      <c r="E185" s="4" t="s">
        <v>81</v>
      </c>
      <c r="F185" s="8" t="n">
        <v>25</v>
      </c>
      <c r="G185" s="8" t="n">
        <v>150</v>
      </c>
      <c r="H185" s="4" t="s">
        <v>243</v>
      </c>
      <c r="I185" s="4"/>
      <c r="J185" s="4"/>
      <c r="K185" s="4"/>
      <c r="L185" s="4"/>
      <c r="M185" s="4" t="str">
        <f aca="false">IF(L185="","",IF(L185&lt;F185,"UNDER low est",IF(L185&gt;G185,"OVER high est","within range")))</f>
        <v/>
      </c>
    </row>
    <row r="186" customFormat="false" ht="15" hidden="false" customHeight="true" outlineLevel="0" collapsed="false">
      <c r="A186" s="4" t="n">
        <v>187</v>
      </c>
      <c r="B186" s="6" t="s">
        <v>16</v>
      </c>
      <c r="C186" s="5" t="s">
        <v>395</v>
      </c>
      <c r="D186" s="5" t="s">
        <v>395</v>
      </c>
      <c r="E186" s="4" t="s">
        <v>81</v>
      </c>
      <c r="F186" s="8" t="n">
        <v>25</v>
      </c>
      <c r="G186" s="8" t="n">
        <v>150</v>
      </c>
      <c r="H186" s="4" t="s">
        <v>233</v>
      </c>
      <c r="I186" s="4"/>
      <c r="J186" s="4"/>
      <c r="K186" s="4"/>
      <c r="L186" s="4"/>
      <c r="M186" s="4" t="str">
        <f aca="false">IF(L186="","",IF(L186&lt;F186,"UNDER low est",IF(L186&gt;G186,"OVER high est","within range")))</f>
        <v/>
      </c>
    </row>
    <row r="187" customFormat="false" ht="15" hidden="false" customHeight="true" outlineLevel="0" collapsed="false">
      <c r="A187" s="4" t="n">
        <v>188</v>
      </c>
      <c r="B187" s="6" t="s">
        <v>16</v>
      </c>
      <c r="C187" s="17" t="s">
        <v>241</v>
      </c>
      <c r="D187" s="17" t="s">
        <v>396</v>
      </c>
      <c r="E187" s="4" t="s">
        <v>81</v>
      </c>
      <c r="F187" s="8" t="n">
        <v>25</v>
      </c>
      <c r="G187" s="8" t="n">
        <v>150</v>
      </c>
      <c r="H187" s="4" t="s">
        <v>243</v>
      </c>
      <c r="I187" s="4"/>
      <c r="J187" s="4"/>
      <c r="K187" s="4"/>
      <c r="L187" s="4"/>
      <c r="M187" s="4" t="str">
        <f aca="false">IF(L187="","",IF(L187&lt;F187,"UNDER low est",IF(L187&gt;G187,"OVER high est","within range")))</f>
        <v/>
      </c>
    </row>
    <row r="188" customFormat="false" ht="15" hidden="false" customHeight="true" outlineLevel="0" collapsed="false">
      <c r="A188" s="4" t="n">
        <v>189</v>
      </c>
      <c r="B188" s="6" t="s">
        <v>16</v>
      </c>
      <c r="C188" s="5" t="s">
        <v>395</v>
      </c>
      <c r="D188" s="5" t="s">
        <v>395</v>
      </c>
      <c r="E188" s="4" t="s">
        <v>81</v>
      </c>
      <c r="F188" s="8" t="n">
        <v>25</v>
      </c>
      <c r="G188" s="8" t="n">
        <v>150</v>
      </c>
      <c r="H188" s="4" t="s">
        <v>233</v>
      </c>
      <c r="I188" s="4"/>
      <c r="J188" s="4"/>
      <c r="K188" s="4"/>
      <c r="L188" s="4"/>
      <c r="M188" s="4" t="str">
        <f aca="false">IF(L188="","",IF(L188&lt;F188,"UNDER low est",IF(L188&gt;G188,"OVER high est","within range")))</f>
        <v/>
      </c>
    </row>
    <row r="189" customFormat="false" ht="15" hidden="false" customHeight="true" outlineLevel="0" collapsed="false">
      <c r="A189" s="4" t="n">
        <v>190</v>
      </c>
      <c r="B189" s="6" t="s">
        <v>16</v>
      </c>
      <c r="C189" s="17" t="s">
        <v>241</v>
      </c>
      <c r="D189" s="17" t="s">
        <v>398</v>
      </c>
      <c r="E189" s="4" t="s">
        <v>81</v>
      </c>
      <c r="F189" s="8" t="n">
        <v>25</v>
      </c>
      <c r="G189" s="8" t="n">
        <v>150</v>
      </c>
      <c r="H189" s="4" t="s">
        <v>243</v>
      </c>
      <c r="I189" s="4"/>
      <c r="J189" s="4"/>
      <c r="K189" s="4"/>
      <c r="L189" s="4"/>
      <c r="M189" s="4" t="str">
        <f aca="false">IF(L189="","",IF(L189&lt;F189,"UNDER low est",IF(L189&gt;G189,"OVER high est","within range")))</f>
        <v/>
      </c>
    </row>
    <row r="190" customFormat="false" ht="15" hidden="false" customHeight="true" outlineLevel="0" collapsed="false">
      <c r="A190" s="4" t="n">
        <v>191</v>
      </c>
      <c r="B190" s="6" t="s">
        <v>16</v>
      </c>
      <c r="C190" s="5" t="s">
        <v>306</v>
      </c>
      <c r="D190" s="5" t="s">
        <v>306</v>
      </c>
      <c r="E190" s="4" t="s">
        <v>236</v>
      </c>
      <c r="F190" s="8" t="n">
        <v>40</v>
      </c>
      <c r="G190" s="8" t="n">
        <v>150</v>
      </c>
      <c r="H190" s="4" t="s">
        <v>233</v>
      </c>
      <c r="I190" s="4"/>
      <c r="J190" s="4"/>
      <c r="K190" s="4"/>
      <c r="L190" s="4"/>
      <c r="M190" s="4" t="str">
        <f aca="false">IF(L190="","",IF(L190&lt;F190,"UNDER low est",IF(L190&gt;G190,"OVER high est","within range")))</f>
        <v/>
      </c>
    </row>
    <row r="191" customFormat="false" ht="15" hidden="false" customHeight="true" outlineLevel="0" collapsed="false">
      <c r="A191" s="4" t="n">
        <v>192</v>
      </c>
      <c r="B191" s="6" t="s">
        <v>16</v>
      </c>
      <c r="C191" s="17" t="s">
        <v>241</v>
      </c>
      <c r="D191" s="17" t="s">
        <v>399</v>
      </c>
      <c r="E191" s="4" t="s">
        <v>59</v>
      </c>
      <c r="F191" s="8" t="n">
        <v>10</v>
      </c>
      <c r="G191" s="8" t="n">
        <v>50</v>
      </c>
      <c r="H191" s="4" t="s">
        <v>275</v>
      </c>
      <c r="I191" s="16" t="s">
        <v>234</v>
      </c>
      <c r="J191" s="4"/>
      <c r="K191" s="4"/>
      <c r="L191" s="4"/>
      <c r="M191" s="4" t="str">
        <f aca="false">IF(L191="","",IF(L191&lt;F191,"UNDER low est",IF(L191&gt;G191,"OVER high est","within range")))</f>
        <v/>
      </c>
    </row>
    <row r="192" customFormat="false" ht="23.25" hidden="false" customHeight="true" outlineLevel="0" collapsed="false">
      <c r="A192" s="4" t="n">
        <v>193</v>
      </c>
      <c r="B192" s="6" t="s">
        <v>16</v>
      </c>
      <c r="C192" s="17" t="s">
        <v>241</v>
      </c>
      <c r="D192" s="17" t="s">
        <v>400</v>
      </c>
      <c r="E192" s="4" t="s">
        <v>236</v>
      </c>
      <c r="F192" s="8" t="n">
        <v>75</v>
      </c>
      <c r="G192" s="8" t="n">
        <v>300</v>
      </c>
      <c r="H192" s="4" t="s">
        <v>243</v>
      </c>
      <c r="I192" s="16" t="s">
        <v>234</v>
      </c>
      <c r="J192" s="4"/>
      <c r="K192" s="4"/>
      <c r="L192" s="4"/>
      <c r="M192" s="4" t="str">
        <f aca="false">IF(L192="","",IF(L192&lt;F192,"UNDER low est",IF(L192&gt;G192,"OVER high est","within range")))</f>
        <v/>
      </c>
    </row>
    <row r="193" customFormat="false" ht="15" hidden="false" customHeight="true" outlineLevel="0" collapsed="false">
      <c r="A193" s="4" t="n">
        <v>194</v>
      </c>
      <c r="B193" s="6" t="s">
        <v>16</v>
      </c>
      <c r="C193" s="5" t="s">
        <v>401</v>
      </c>
      <c r="D193" s="5" t="s">
        <v>401</v>
      </c>
      <c r="E193" s="4" t="s">
        <v>236</v>
      </c>
      <c r="F193" s="8" t="n">
        <v>50</v>
      </c>
      <c r="G193" s="8" t="n">
        <v>150</v>
      </c>
      <c r="H193" s="4" t="s">
        <v>233</v>
      </c>
      <c r="I193" s="4"/>
      <c r="J193" s="4"/>
      <c r="K193" s="4"/>
      <c r="L193" s="4"/>
      <c r="M193" s="4" t="str">
        <f aca="false">IF(L193="","",IF(L193&lt;F193,"UNDER low est",IF(L193&gt;G193,"OVER high est","within range")))</f>
        <v/>
      </c>
    </row>
    <row r="194" customFormat="false" ht="15" hidden="false" customHeight="true" outlineLevel="0" collapsed="false">
      <c r="A194" s="4" t="n">
        <v>195</v>
      </c>
      <c r="B194" s="6" t="s">
        <v>16</v>
      </c>
      <c r="C194" s="5" t="s">
        <v>402</v>
      </c>
      <c r="D194" s="5" t="s">
        <v>402</v>
      </c>
      <c r="E194" s="4" t="s">
        <v>236</v>
      </c>
      <c r="F194" s="8" t="n">
        <v>10</v>
      </c>
      <c r="G194" s="8" t="n">
        <v>50</v>
      </c>
      <c r="H194" s="4" t="s">
        <v>243</v>
      </c>
      <c r="I194" s="4"/>
      <c r="J194" s="4"/>
      <c r="K194" s="4"/>
      <c r="L194" s="4"/>
      <c r="M194" s="4" t="str">
        <f aca="false">IF(L194="","",IF(L194&lt;F194,"UNDER low est",IF(L194&gt;G194,"OVER high est","within range")))</f>
        <v/>
      </c>
    </row>
    <row r="195" customFormat="false" ht="15" hidden="false" customHeight="true" outlineLevel="0" collapsed="false">
      <c r="A195" s="4" t="n">
        <v>196</v>
      </c>
      <c r="B195" s="6" t="s">
        <v>16</v>
      </c>
      <c r="C195" s="5" t="s">
        <v>403</v>
      </c>
      <c r="D195" s="5" t="s">
        <v>403</v>
      </c>
      <c r="E195" s="4" t="s">
        <v>236</v>
      </c>
      <c r="F195" s="8" t="n">
        <v>10</v>
      </c>
      <c r="G195" s="8" t="n">
        <v>50</v>
      </c>
      <c r="H195" s="4" t="s">
        <v>243</v>
      </c>
      <c r="I195" s="4"/>
      <c r="J195" s="4"/>
      <c r="K195" s="4"/>
      <c r="L195" s="4"/>
      <c r="M195" s="4" t="str">
        <f aca="false">IF(L195="","",IF(L195&lt;F195,"UNDER low est",IF(L195&gt;G195,"OVER high est","within range")))</f>
        <v/>
      </c>
    </row>
    <row r="196" customFormat="false" ht="15" hidden="false" customHeight="true" outlineLevel="0" collapsed="false">
      <c r="A196" s="4" t="n">
        <v>197</v>
      </c>
      <c r="B196" s="6" t="s">
        <v>16</v>
      </c>
      <c r="C196" s="5" t="s">
        <v>404</v>
      </c>
      <c r="D196" s="5" t="s">
        <v>404</v>
      </c>
      <c r="E196" s="4" t="s">
        <v>236</v>
      </c>
      <c r="F196" s="8" t="n">
        <v>40</v>
      </c>
      <c r="G196" s="8" t="n">
        <v>150</v>
      </c>
      <c r="H196" s="4" t="s">
        <v>233</v>
      </c>
      <c r="I196" s="4"/>
      <c r="J196" s="4"/>
      <c r="K196" s="4"/>
      <c r="L196" s="4"/>
      <c r="M196" s="4" t="str">
        <f aca="false">IF(L196="","",IF(L196&lt;F196,"UNDER low est",IF(L196&gt;G196,"OVER high est","within range")))</f>
        <v/>
      </c>
    </row>
    <row r="197" customFormat="false" ht="15" hidden="false" customHeight="true" outlineLevel="0" collapsed="false">
      <c r="A197" s="4" t="n">
        <v>198</v>
      </c>
      <c r="B197" s="6" t="s">
        <v>16</v>
      </c>
      <c r="C197" s="5" t="s">
        <v>405</v>
      </c>
      <c r="D197" s="5" t="s">
        <v>405</v>
      </c>
      <c r="E197" s="4" t="s">
        <v>236</v>
      </c>
      <c r="F197" s="8" t="n">
        <v>10</v>
      </c>
      <c r="G197" s="8" t="n">
        <v>50</v>
      </c>
      <c r="H197" s="4" t="s">
        <v>243</v>
      </c>
      <c r="I197" s="4"/>
      <c r="J197" s="4"/>
      <c r="K197" s="4"/>
      <c r="L197" s="4"/>
      <c r="M197" s="4" t="str">
        <f aca="false">IF(L197="","",IF(L197&lt;F197,"UNDER low est",IF(L197&gt;G197,"OVER high est","within range")))</f>
        <v/>
      </c>
    </row>
    <row r="198" customFormat="false" ht="15" hidden="false" customHeight="true" outlineLevel="0" collapsed="false">
      <c r="A198" s="4" t="n">
        <v>199</v>
      </c>
      <c r="B198" s="6" t="s">
        <v>16</v>
      </c>
      <c r="C198" s="17" t="s">
        <v>241</v>
      </c>
      <c r="D198" s="17" t="s">
        <v>406</v>
      </c>
      <c r="E198" s="4" t="s">
        <v>59</v>
      </c>
      <c r="F198" s="8" t="n">
        <v>50</v>
      </c>
      <c r="G198" s="8" t="n">
        <v>150</v>
      </c>
      <c r="H198" s="4" t="s">
        <v>243</v>
      </c>
      <c r="I198" s="16" t="s">
        <v>234</v>
      </c>
      <c r="J198" s="4"/>
      <c r="K198" s="4"/>
      <c r="L198" s="4"/>
      <c r="M198" s="4" t="str">
        <f aca="false">IF(L198="","",IF(L198&lt;F198,"UNDER low est",IF(L198&gt;G198,"OVER high est","within range")))</f>
        <v/>
      </c>
    </row>
    <row r="199" customFormat="false" ht="15" hidden="false" customHeight="true" outlineLevel="0" collapsed="false">
      <c r="A199" s="4" t="n">
        <v>200</v>
      </c>
      <c r="B199" s="6" t="s">
        <v>16</v>
      </c>
      <c r="C199" s="17" t="s">
        <v>241</v>
      </c>
      <c r="D199" s="17" t="s">
        <v>407</v>
      </c>
      <c r="E199" s="4" t="s">
        <v>59</v>
      </c>
      <c r="F199" s="8" t="n">
        <v>10</v>
      </c>
      <c r="G199" s="8" t="n">
        <v>50</v>
      </c>
      <c r="H199" s="4" t="s">
        <v>275</v>
      </c>
      <c r="I199" s="4"/>
      <c r="J199" s="4"/>
      <c r="K199" s="4"/>
      <c r="L199" s="4"/>
      <c r="M199" s="4" t="str">
        <f aca="false">IF(L199="","",IF(L199&lt;F199,"UNDER low est",IF(L199&gt;G199,"OVER high est","within range")))</f>
        <v/>
      </c>
    </row>
    <row r="200" customFormat="false" ht="15" hidden="false" customHeight="true" outlineLevel="0" collapsed="false">
      <c r="A200" s="4" t="n">
        <v>201</v>
      </c>
      <c r="B200" s="6" t="s">
        <v>16</v>
      </c>
      <c r="C200" s="5" t="s">
        <v>408</v>
      </c>
      <c r="D200" s="5" t="s">
        <v>408</v>
      </c>
      <c r="E200" s="4" t="s">
        <v>236</v>
      </c>
      <c r="F200" s="8" t="n">
        <v>50</v>
      </c>
      <c r="G200" s="8" t="n">
        <v>150</v>
      </c>
      <c r="H200" s="4" t="s">
        <v>233</v>
      </c>
      <c r="I200" s="4"/>
      <c r="J200" s="4"/>
      <c r="K200" s="4"/>
      <c r="L200" s="4"/>
      <c r="M200" s="4" t="str">
        <f aca="false">IF(L200="","",IF(L200&lt;F200,"UNDER low est",IF(L200&gt;G200,"OVER high est","within range")))</f>
        <v/>
      </c>
    </row>
    <row r="201" customFormat="false" ht="15" hidden="false" customHeight="true" outlineLevel="0" collapsed="false">
      <c r="A201" s="4" t="n">
        <v>202</v>
      </c>
      <c r="B201" s="6" t="s">
        <v>16</v>
      </c>
      <c r="C201" s="5" t="s">
        <v>409</v>
      </c>
      <c r="D201" s="5" t="s">
        <v>409</v>
      </c>
      <c r="E201" s="4" t="s">
        <v>236</v>
      </c>
      <c r="F201" s="8" t="n">
        <v>50</v>
      </c>
      <c r="G201" s="8" t="n">
        <v>150</v>
      </c>
      <c r="H201" s="4" t="s">
        <v>233</v>
      </c>
      <c r="I201" s="4"/>
      <c r="J201" s="4"/>
      <c r="K201" s="4"/>
      <c r="L201" s="4"/>
      <c r="M201" s="4" t="str">
        <f aca="false">IF(L201="","",IF(L201&lt;F201,"UNDER low est",IF(L201&gt;G201,"OVER high est","within range")))</f>
        <v/>
      </c>
    </row>
    <row r="202" customFormat="false" ht="15" hidden="false" customHeight="true" outlineLevel="0" collapsed="false">
      <c r="A202" s="4" t="n">
        <v>203</v>
      </c>
      <c r="B202" s="6" t="s">
        <v>16</v>
      </c>
      <c r="C202" s="5" t="s">
        <v>410</v>
      </c>
      <c r="D202" s="5" t="s">
        <v>410</v>
      </c>
      <c r="E202" s="4" t="s">
        <v>236</v>
      </c>
      <c r="F202" s="8" t="n">
        <v>40</v>
      </c>
      <c r="G202" s="8" t="n">
        <v>100</v>
      </c>
      <c r="H202" s="4" t="s">
        <v>233</v>
      </c>
      <c r="I202" s="16" t="s">
        <v>234</v>
      </c>
      <c r="J202" s="4"/>
      <c r="K202" s="4"/>
      <c r="L202" s="4"/>
      <c r="M202" s="4" t="str">
        <f aca="false">IF(L202="","",IF(L202&lt;F202,"UNDER low est",IF(L202&gt;G202,"OVER high est","within range")))</f>
        <v/>
      </c>
    </row>
    <row r="203" customFormat="false" ht="15" hidden="false" customHeight="true" outlineLevel="0" collapsed="false">
      <c r="A203" s="4" t="n">
        <v>204</v>
      </c>
      <c r="B203" s="6" t="s">
        <v>16</v>
      </c>
      <c r="C203" s="5" t="s">
        <v>411</v>
      </c>
      <c r="D203" s="5" t="s">
        <v>411</v>
      </c>
      <c r="E203" s="4" t="s">
        <v>236</v>
      </c>
      <c r="F203" s="8" t="n">
        <v>60</v>
      </c>
      <c r="G203" s="8" t="n">
        <v>200</v>
      </c>
      <c r="H203" s="4" t="s">
        <v>233</v>
      </c>
      <c r="I203" s="4"/>
      <c r="J203" s="4"/>
      <c r="K203" s="4"/>
      <c r="L203" s="4"/>
      <c r="M203" s="4" t="str">
        <f aca="false">IF(L203="","",IF(L203&lt;F203,"UNDER low est",IF(L203&gt;G203,"OVER high est","within range")))</f>
        <v/>
      </c>
    </row>
    <row r="204" customFormat="false" ht="23.25" hidden="false" customHeight="true" outlineLevel="0" collapsed="false">
      <c r="A204" s="4" t="n">
        <v>205</v>
      </c>
      <c r="B204" s="6" t="s">
        <v>16</v>
      </c>
      <c r="C204" s="17" t="s">
        <v>241</v>
      </c>
      <c r="D204" s="17" t="s">
        <v>412</v>
      </c>
      <c r="E204" s="4" t="s">
        <v>236</v>
      </c>
      <c r="F204" s="8" t="n">
        <v>10</v>
      </c>
      <c r="G204" s="8" t="n">
        <v>50</v>
      </c>
      <c r="H204" s="4" t="s">
        <v>275</v>
      </c>
      <c r="I204" s="16" t="s">
        <v>234</v>
      </c>
      <c r="J204" s="4"/>
      <c r="K204" s="4"/>
      <c r="L204" s="4"/>
      <c r="M204" s="4" t="str">
        <f aca="false">IF(L204="","",IF(L204&lt;F204,"UNDER low est",IF(L204&gt;G204,"OVER high est","within range")))</f>
        <v/>
      </c>
    </row>
    <row r="205" customFormat="false" ht="23.25" hidden="false" customHeight="true" outlineLevel="0" collapsed="false">
      <c r="A205" s="4" t="n">
        <v>206</v>
      </c>
      <c r="B205" s="6" t="s">
        <v>16</v>
      </c>
      <c r="C205" s="17" t="s">
        <v>241</v>
      </c>
      <c r="D205" s="17" t="s">
        <v>413</v>
      </c>
      <c r="E205" s="4" t="s">
        <v>239</v>
      </c>
      <c r="F205" s="8" t="n">
        <v>10</v>
      </c>
      <c r="G205" s="8" t="n">
        <v>50</v>
      </c>
      <c r="H205" s="4" t="s">
        <v>275</v>
      </c>
      <c r="I205" s="4"/>
      <c r="J205" s="4"/>
      <c r="K205" s="4"/>
      <c r="L205" s="4"/>
      <c r="M205" s="4" t="str">
        <f aca="false">IF(L205="","",IF(L205&lt;F205,"UNDER low est",IF(L205&gt;G205,"OVER high est","within range")))</f>
        <v/>
      </c>
    </row>
    <row r="206" customFormat="false" ht="15" hidden="false" customHeight="true" outlineLevel="0" collapsed="false">
      <c r="A206" s="4" t="n">
        <v>207</v>
      </c>
      <c r="B206" s="6" t="s">
        <v>16</v>
      </c>
      <c r="C206" s="5" t="s">
        <v>414</v>
      </c>
      <c r="D206" s="5" t="s">
        <v>414</v>
      </c>
      <c r="E206" s="4" t="s">
        <v>236</v>
      </c>
      <c r="F206" s="8" t="n">
        <v>60</v>
      </c>
      <c r="G206" s="8" t="n">
        <v>200</v>
      </c>
      <c r="H206" s="4" t="s">
        <v>233</v>
      </c>
      <c r="I206" s="4"/>
      <c r="J206" s="4"/>
      <c r="K206" s="4"/>
      <c r="L206" s="4"/>
      <c r="M206" s="4" t="str">
        <f aca="false">IF(L206="","",IF(L206&lt;F206,"UNDER low est",IF(L206&gt;G206,"OVER high est","within range")))</f>
        <v/>
      </c>
    </row>
    <row r="207" customFormat="false" ht="15" hidden="false" customHeight="true" outlineLevel="0" collapsed="false">
      <c r="A207" s="4" t="n">
        <v>208</v>
      </c>
      <c r="B207" s="6" t="s">
        <v>16</v>
      </c>
      <c r="C207" s="5" t="s">
        <v>415</v>
      </c>
      <c r="D207" s="5" t="s">
        <v>415</v>
      </c>
      <c r="E207" s="4" t="s">
        <v>236</v>
      </c>
      <c r="F207" s="8" t="n">
        <v>60</v>
      </c>
      <c r="G207" s="8" t="n">
        <v>200</v>
      </c>
      <c r="H207" s="4" t="s">
        <v>233</v>
      </c>
      <c r="I207" s="4"/>
      <c r="J207" s="4"/>
      <c r="K207" s="4"/>
      <c r="L207" s="4"/>
      <c r="M207" s="4" t="str">
        <f aca="false">IF(L207="","",IF(L207&lt;F207,"UNDER low est",IF(L207&gt;G207,"OVER high est","within range")))</f>
        <v/>
      </c>
    </row>
    <row r="208" customFormat="false" ht="15" hidden="false" customHeight="true" outlineLevel="0" collapsed="false">
      <c r="A208" s="4" t="n">
        <v>209</v>
      </c>
      <c r="B208" s="6" t="s">
        <v>16</v>
      </c>
      <c r="C208" s="5" t="s">
        <v>416</v>
      </c>
      <c r="D208" s="5" t="s">
        <v>416</v>
      </c>
      <c r="E208" s="4" t="s">
        <v>236</v>
      </c>
      <c r="F208" s="8" t="n">
        <v>10</v>
      </c>
      <c r="G208" s="8" t="n">
        <v>50</v>
      </c>
      <c r="H208" s="4" t="s">
        <v>243</v>
      </c>
      <c r="I208" s="4"/>
      <c r="J208" s="4"/>
      <c r="K208" s="4"/>
      <c r="L208" s="4"/>
      <c r="M208" s="4" t="str">
        <f aca="false">IF(L208="","",IF(L208&lt;F208,"UNDER low est",IF(L208&gt;G208,"OVER high est","within range")))</f>
        <v/>
      </c>
    </row>
    <row r="209" customFormat="false" ht="15" hidden="false" customHeight="true" outlineLevel="0" collapsed="false">
      <c r="A209" s="4" t="n">
        <v>210</v>
      </c>
      <c r="B209" s="6" t="s">
        <v>16</v>
      </c>
      <c r="C209" s="5" t="s">
        <v>379</v>
      </c>
      <c r="D209" s="5" t="s">
        <v>379</v>
      </c>
      <c r="E209" s="4" t="s">
        <v>236</v>
      </c>
      <c r="F209" s="8" t="n">
        <v>60</v>
      </c>
      <c r="G209" s="8" t="n">
        <v>200</v>
      </c>
      <c r="H209" s="4" t="s">
        <v>233</v>
      </c>
      <c r="I209" s="4"/>
      <c r="J209" s="4"/>
      <c r="K209" s="4"/>
      <c r="L209" s="4"/>
      <c r="M209" s="4" t="str">
        <f aca="false">IF(L209="","",IF(L209&lt;F209,"UNDER low est",IF(L209&gt;G209,"OVER high est","within range")))</f>
        <v/>
      </c>
    </row>
    <row r="210" customFormat="false" ht="15" hidden="false" customHeight="true" outlineLevel="0" collapsed="false">
      <c r="A210" s="4" t="n">
        <v>211</v>
      </c>
      <c r="B210" s="6" t="s">
        <v>16</v>
      </c>
      <c r="C210" s="5" t="s">
        <v>417</v>
      </c>
      <c r="D210" s="5" t="s">
        <v>417</v>
      </c>
      <c r="E210" s="4" t="s">
        <v>236</v>
      </c>
      <c r="F210" s="8" t="n">
        <v>200</v>
      </c>
      <c r="G210" s="8" t="n">
        <v>440</v>
      </c>
      <c r="H210" s="4" t="s">
        <v>233</v>
      </c>
      <c r="I210" s="16" t="s">
        <v>234</v>
      </c>
      <c r="J210" s="4"/>
      <c r="K210" s="4"/>
      <c r="L210" s="4"/>
      <c r="M210" s="4" t="str">
        <f aca="false">IF(L210="","",IF(L210&lt;F210,"UNDER low est",IF(L210&gt;G210,"OVER high est","within range")))</f>
        <v/>
      </c>
    </row>
    <row r="211" customFormat="false" ht="15" hidden="false" customHeight="true" outlineLevel="0" collapsed="false">
      <c r="A211" s="4" t="n">
        <v>212</v>
      </c>
      <c r="B211" s="6" t="s">
        <v>16</v>
      </c>
      <c r="C211" s="5" t="s">
        <v>418</v>
      </c>
      <c r="D211" s="5" t="s">
        <v>418</v>
      </c>
      <c r="E211" s="4" t="s">
        <v>236</v>
      </c>
      <c r="F211" s="8" t="n">
        <v>10</v>
      </c>
      <c r="G211" s="8" t="n">
        <v>50</v>
      </c>
      <c r="H211" s="4" t="s">
        <v>243</v>
      </c>
      <c r="I211" s="4"/>
      <c r="J211" s="4"/>
      <c r="K211" s="4"/>
      <c r="L211" s="4"/>
      <c r="M211" s="4" t="str">
        <f aca="false">IF(L211="","",IF(L211&lt;F211,"UNDER low est",IF(L211&gt;G211,"OVER high est","within range")))</f>
        <v/>
      </c>
    </row>
    <row r="212" customFormat="false" ht="15" hidden="false" customHeight="true" outlineLevel="0" collapsed="false">
      <c r="A212" s="4" t="n">
        <v>213</v>
      </c>
      <c r="B212" s="6" t="s">
        <v>16</v>
      </c>
      <c r="C212" s="5" t="s">
        <v>419</v>
      </c>
      <c r="D212" s="5" t="s">
        <v>419</v>
      </c>
      <c r="E212" s="4" t="s">
        <v>108</v>
      </c>
      <c r="F212" s="8" t="n">
        <v>10</v>
      </c>
      <c r="G212" s="8" t="n">
        <v>50</v>
      </c>
      <c r="H212" s="4" t="s">
        <v>243</v>
      </c>
      <c r="I212" s="4"/>
      <c r="J212" s="4"/>
      <c r="K212" s="4"/>
      <c r="L212" s="4"/>
      <c r="M212" s="4" t="str">
        <f aca="false">IF(L212="","",IF(L212&lt;F212,"UNDER low est",IF(L212&gt;G212,"OVER high est","within range")))</f>
        <v/>
      </c>
    </row>
    <row r="213" customFormat="false" ht="15" hidden="false" customHeight="true" outlineLevel="0" collapsed="false">
      <c r="A213" s="4" t="n">
        <v>214</v>
      </c>
      <c r="B213" s="6" t="s">
        <v>16</v>
      </c>
      <c r="C213" s="5" t="s">
        <v>420</v>
      </c>
      <c r="D213" s="5" t="s">
        <v>420</v>
      </c>
      <c r="E213" s="4" t="s">
        <v>236</v>
      </c>
      <c r="F213" s="8" t="n">
        <v>40</v>
      </c>
      <c r="G213" s="8" t="n">
        <v>150</v>
      </c>
      <c r="H213" s="4" t="s">
        <v>233</v>
      </c>
      <c r="I213" s="4"/>
      <c r="J213" s="4"/>
      <c r="K213" s="4"/>
      <c r="L213" s="4"/>
      <c r="M213" s="4" t="str">
        <f aca="false">IF(L213="","",IF(L213&lt;F213,"UNDER low est",IF(L213&gt;G213,"OVER high est","within range")))</f>
        <v/>
      </c>
    </row>
    <row r="214" customFormat="false" ht="23.25" hidden="false" customHeight="true" outlineLevel="0" collapsed="false">
      <c r="A214" s="4" t="n">
        <v>215</v>
      </c>
      <c r="B214" s="6" t="s">
        <v>16</v>
      </c>
      <c r="C214" s="17" t="s">
        <v>241</v>
      </c>
      <c r="D214" s="17" t="s">
        <v>421</v>
      </c>
      <c r="E214" s="4" t="s">
        <v>236</v>
      </c>
      <c r="F214" s="8" t="n">
        <v>10</v>
      </c>
      <c r="G214" s="8" t="n">
        <v>50</v>
      </c>
      <c r="H214" s="4" t="s">
        <v>275</v>
      </c>
      <c r="I214" s="16" t="s">
        <v>234</v>
      </c>
      <c r="J214" s="4"/>
      <c r="K214" s="4"/>
      <c r="L214" s="4"/>
      <c r="M214" s="4" t="str">
        <f aca="false">IF(L214="","",IF(L214&lt;F214,"UNDER low est",IF(L214&gt;G214,"OVER high est","within range")))</f>
        <v/>
      </c>
    </row>
    <row r="215" customFormat="false" ht="15" hidden="false" customHeight="true" outlineLevel="0" collapsed="false">
      <c r="A215" s="4" t="n">
        <v>216</v>
      </c>
      <c r="B215" s="6" t="s">
        <v>16</v>
      </c>
      <c r="C215" s="5" t="s">
        <v>422</v>
      </c>
      <c r="D215" s="5" t="s">
        <v>422</v>
      </c>
      <c r="E215" s="4" t="s">
        <v>236</v>
      </c>
      <c r="F215" s="8" t="n">
        <v>10</v>
      </c>
      <c r="G215" s="8" t="n">
        <v>50</v>
      </c>
      <c r="H215" s="4" t="s">
        <v>243</v>
      </c>
      <c r="I215" s="4"/>
      <c r="J215" s="4"/>
      <c r="K215" s="4"/>
      <c r="L215" s="4"/>
      <c r="M215" s="4" t="str">
        <f aca="false">IF(L215="","",IF(L215&lt;F215,"UNDER low est",IF(L215&gt;G215,"OVER high est","within range")))</f>
        <v/>
      </c>
    </row>
    <row r="216" customFormat="false" ht="15" hidden="false" customHeight="true" outlineLevel="0" collapsed="false">
      <c r="A216" s="4" t="n">
        <v>217</v>
      </c>
      <c r="B216" s="6" t="s">
        <v>16</v>
      </c>
      <c r="C216" s="5" t="s">
        <v>423</v>
      </c>
      <c r="D216" s="5" t="s">
        <v>423</v>
      </c>
      <c r="E216" s="4" t="s">
        <v>236</v>
      </c>
      <c r="F216" s="8" t="n">
        <v>40</v>
      </c>
      <c r="G216" s="8" t="n">
        <v>150</v>
      </c>
      <c r="H216" s="4" t="s">
        <v>233</v>
      </c>
      <c r="I216" s="4"/>
      <c r="J216" s="4"/>
      <c r="K216" s="4"/>
      <c r="L216" s="4"/>
      <c r="M216" s="4" t="str">
        <f aca="false">IF(L216="","",IF(L216&lt;F216,"UNDER low est",IF(L216&gt;G216,"OVER high est","within range")))</f>
        <v/>
      </c>
    </row>
    <row r="217" customFormat="false" ht="15" hidden="false" customHeight="true" outlineLevel="0" collapsed="false">
      <c r="A217" s="4" t="n">
        <v>218</v>
      </c>
      <c r="B217" s="6" t="s">
        <v>16</v>
      </c>
      <c r="C217" s="5" t="s">
        <v>424</v>
      </c>
      <c r="D217" s="5" t="s">
        <v>424</v>
      </c>
      <c r="E217" s="4" t="s">
        <v>236</v>
      </c>
      <c r="F217" s="8" t="n">
        <v>40</v>
      </c>
      <c r="G217" s="8" t="n">
        <v>150</v>
      </c>
      <c r="H217" s="4" t="s">
        <v>233</v>
      </c>
      <c r="I217" s="4"/>
      <c r="J217" s="4"/>
      <c r="K217" s="4"/>
      <c r="L217" s="4"/>
      <c r="M217" s="4" t="str">
        <f aca="false">IF(L217="","",IF(L217&lt;F217,"UNDER low est",IF(L217&gt;G217,"OVER high est","within range")))</f>
        <v/>
      </c>
    </row>
    <row r="218" customFormat="false" ht="15" hidden="false" customHeight="true" outlineLevel="0" collapsed="false">
      <c r="A218" s="4" t="n">
        <v>219</v>
      </c>
      <c r="B218" s="6" t="s">
        <v>16</v>
      </c>
      <c r="C218" s="17" t="s">
        <v>241</v>
      </c>
      <c r="D218" s="17" t="s">
        <v>425</v>
      </c>
      <c r="E218" s="4" t="s">
        <v>236</v>
      </c>
      <c r="F218" s="8" t="n">
        <v>10</v>
      </c>
      <c r="G218" s="8" t="n">
        <v>50</v>
      </c>
      <c r="H218" s="4" t="s">
        <v>275</v>
      </c>
      <c r="I218" s="4"/>
      <c r="J218" s="4"/>
      <c r="K218" s="4"/>
      <c r="L218" s="4"/>
      <c r="M218" s="4" t="str">
        <f aca="false">IF(L218="","",IF(L218&lt;F218,"UNDER low est",IF(L218&gt;G218,"OVER high est","within range")))</f>
        <v/>
      </c>
    </row>
    <row r="219" customFormat="false" ht="15" hidden="false" customHeight="true" outlineLevel="0" collapsed="false">
      <c r="A219" s="4" t="n">
        <v>220</v>
      </c>
      <c r="B219" s="6" t="s">
        <v>16</v>
      </c>
      <c r="C219" s="5" t="s">
        <v>426</v>
      </c>
      <c r="D219" s="5" t="s">
        <v>426</v>
      </c>
      <c r="E219" s="4" t="s">
        <v>236</v>
      </c>
      <c r="F219" s="8" t="n">
        <v>10</v>
      </c>
      <c r="G219" s="8" t="n">
        <v>50</v>
      </c>
      <c r="H219" s="4" t="s">
        <v>243</v>
      </c>
      <c r="I219" s="4"/>
      <c r="J219" s="4"/>
      <c r="K219" s="4"/>
      <c r="L219" s="4"/>
      <c r="M219" s="4" t="str">
        <f aca="false">IF(L219="","",IF(L219&lt;F219,"UNDER low est",IF(L219&gt;G219,"OVER high est","within range")))</f>
        <v/>
      </c>
    </row>
    <row r="220" customFormat="false" ht="15" hidden="false" customHeight="true" outlineLevel="0" collapsed="false">
      <c r="A220" s="4" t="n">
        <v>221</v>
      </c>
      <c r="B220" s="6" t="s">
        <v>16</v>
      </c>
      <c r="C220" s="5" t="s">
        <v>427</v>
      </c>
      <c r="D220" s="5" t="s">
        <v>427</v>
      </c>
      <c r="E220" s="4" t="s">
        <v>236</v>
      </c>
      <c r="F220" s="8" t="n">
        <v>40</v>
      </c>
      <c r="G220" s="8" t="n">
        <v>150</v>
      </c>
      <c r="H220" s="4" t="s">
        <v>233</v>
      </c>
      <c r="I220" s="4"/>
      <c r="J220" s="4"/>
      <c r="K220" s="4"/>
      <c r="L220" s="4"/>
      <c r="M220" s="4" t="str">
        <f aca="false">IF(L220="","",IF(L220&lt;F220,"UNDER low est",IF(L220&gt;G220,"OVER high est","within range")))</f>
        <v/>
      </c>
    </row>
    <row r="221" customFormat="false" ht="15" hidden="false" customHeight="true" outlineLevel="0" collapsed="false">
      <c r="A221" s="4" t="n">
        <v>222</v>
      </c>
      <c r="B221" s="6" t="s">
        <v>16</v>
      </c>
      <c r="C221" s="17" t="s">
        <v>241</v>
      </c>
      <c r="D221" s="17" t="s">
        <v>428</v>
      </c>
      <c r="E221" s="4" t="s">
        <v>236</v>
      </c>
      <c r="F221" s="8" t="n">
        <v>50</v>
      </c>
      <c r="G221" s="8" t="n">
        <v>150</v>
      </c>
      <c r="H221" s="4" t="s">
        <v>243</v>
      </c>
      <c r="I221" s="4"/>
      <c r="J221" s="4"/>
      <c r="K221" s="4"/>
      <c r="L221" s="4"/>
      <c r="M221" s="4" t="str">
        <f aca="false">IF(L221="","",IF(L221&lt;F221,"UNDER low est",IF(L221&gt;G221,"OVER high est","within range")))</f>
        <v/>
      </c>
    </row>
    <row r="222" customFormat="false" ht="23.25" hidden="false" customHeight="true" outlineLevel="0" collapsed="false">
      <c r="A222" s="4" t="n">
        <v>223</v>
      </c>
      <c r="B222" s="6" t="s">
        <v>16</v>
      </c>
      <c r="C222" s="17" t="s">
        <v>241</v>
      </c>
      <c r="D222" s="17" t="s">
        <v>429</v>
      </c>
      <c r="E222" s="4" t="s">
        <v>236</v>
      </c>
      <c r="F222" s="8" t="n">
        <v>10</v>
      </c>
      <c r="G222" s="8" t="n">
        <v>50</v>
      </c>
      <c r="H222" s="4" t="s">
        <v>275</v>
      </c>
      <c r="I222" s="4"/>
      <c r="J222" s="4"/>
      <c r="K222" s="4"/>
      <c r="L222" s="4"/>
      <c r="M222" s="4" t="str">
        <f aca="false">IF(L222="","",IF(L222&lt;F222,"UNDER low est",IF(L222&gt;G222,"OVER high est","within range")))</f>
        <v/>
      </c>
    </row>
    <row r="223" customFormat="false" ht="15" hidden="false" customHeight="true" outlineLevel="0" collapsed="false">
      <c r="A223" s="4" t="n">
        <v>224</v>
      </c>
      <c r="B223" s="6" t="s">
        <v>16</v>
      </c>
      <c r="C223" s="5" t="s">
        <v>430</v>
      </c>
      <c r="D223" s="5" t="s">
        <v>430</v>
      </c>
      <c r="E223" s="4" t="s">
        <v>236</v>
      </c>
      <c r="F223" s="8" t="n">
        <v>50</v>
      </c>
      <c r="G223" s="8" t="n">
        <v>150</v>
      </c>
      <c r="H223" s="4" t="s">
        <v>233</v>
      </c>
      <c r="I223" s="4"/>
      <c r="J223" s="4"/>
      <c r="K223" s="4"/>
      <c r="L223" s="4"/>
      <c r="M223" s="4" t="str">
        <f aca="false">IF(L223="","",IF(L223&lt;F223,"UNDER low est",IF(L223&gt;G223,"OVER high est","within range")))</f>
        <v/>
      </c>
    </row>
    <row r="224" customFormat="false" ht="15" hidden="false" customHeight="true" outlineLevel="0" collapsed="false">
      <c r="A224" s="4" t="n">
        <v>225</v>
      </c>
      <c r="B224" s="6" t="s">
        <v>16</v>
      </c>
      <c r="C224" s="5" t="s">
        <v>431</v>
      </c>
      <c r="D224" s="5" t="s">
        <v>431</v>
      </c>
      <c r="E224" s="4" t="s">
        <v>236</v>
      </c>
      <c r="F224" s="8" t="n">
        <v>50</v>
      </c>
      <c r="G224" s="8" t="n">
        <v>150</v>
      </c>
      <c r="H224" s="4" t="s">
        <v>233</v>
      </c>
      <c r="I224" s="4"/>
      <c r="J224" s="4"/>
      <c r="K224" s="4"/>
      <c r="L224" s="4"/>
      <c r="M224" s="4" t="str">
        <f aca="false">IF(L224="","",IF(L224&lt;F224,"UNDER low est",IF(L224&gt;G224,"OVER high est","within range")))</f>
        <v/>
      </c>
    </row>
    <row r="225" customFormat="false" ht="15" hidden="false" customHeight="true" outlineLevel="0" collapsed="false">
      <c r="A225" s="4" t="n">
        <v>226</v>
      </c>
      <c r="B225" s="6" t="s">
        <v>16</v>
      </c>
      <c r="C225" s="5" t="s">
        <v>432</v>
      </c>
      <c r="D225" s="5" t="s">
        <v>432</v>
      </c>
      <c r="E225" s="4" t="s">
        <v>59</v>
      </c>
      <c r="F225" s="8" t="n">
        <v>50</v>
      </c>
      <c r="G225" s="8" t="n">
        <v>150</v>
      </c>
      <c r="H225" s="4" t="s">
        <v>233</v>
      </c>
      <c r="I225" s="4"/>
      <c r="J225" s="4"/>
      <c r="K225" s="4"/>
      <c r="L225" s="4"/>
      <c r="M225" s="4" t="str">
        <f aca="false">IF(L225="","",IF(L225&lt;F225,"UNDER low est",IF(L225&gt;G225,"OVER high est","within range")))</f>
        <v/>
      </c>
    </row>
    <row r="226" customFormat="false" ht="15" hidden="false" customHeight="true" outlineLevel="0" collapsed="false">
      <c r="A226" s="4" t="n">
        <v>227</v>
      </c>
      <c r="B226" s="6" t="s">
        <v>16</v>
      </c>
      <c r="C226" s="5" t="s">
        <v>72</v>
      </c>
      <c r="D226" s="5" t="s">
        <v>72</v>
      </c>
      <c r="E226" s="4" t="s">
        <v>59</v>
      </c>
      <c r="F226" s="8" t="n">
        <v>50</v>
      </c>
      <c r="G226" s="8" t="n">
        <v>150</v>
      </c>
      <c r="H226" s="4" t="s">
        <v>233</v>
      </c>
      <c r="I226" s="16" t="s">
        <v>234</v>
      </c>
      <c r="J226" s="4"/>
      <c r="K226" s="4"/>
      <c r="L226" s="4"/>
      <c r="M226" s="4" t="str">
        <f aca="false">IF(L226="","",IF(L226&lt;F226,"UNDER low est",IF(L226&gt;G226,"OVER high est","within range")))</f>
        <v/>
      </c>
    </row>
    <row r="227" customFormat="false" ht="15" hidden="false" customHeight="true" outlineLevel="0" collapsed="false">
      <c r="A227" s="4" t="n">
        <v>228</v>
      </c>
      <c r="B227" s="6" t="s">
        <v>16</v>
      </c>
      <c r="C227" s="5" t="s">
        <v>433</v>
      </c>
      <c r="D227" s="5" t="s">
        <v>433</v>
      </c>
      <c r="E227" s="4" t="s">
        <v>236</v>
      </c>
      <c r="F227" s="8" t="n">
        <v>40</v>
      </c>
      <c r="G227" s="8" t="n">
        <v>150</v>
      </c>
      <c r="H227" s="4" t="s">
        <v>233</v>
      </c>
      <c r="I227" s="4"/>
      <c r="J227" s="4"/>
      <c r="K227" s="4"/>
      <c r="L227" s="4"/>
      <c r="M227" s="4" t="str">
        <f aca="false">IF(L227="","",IF(L227&lt;F227,"UNDER low est",IF(L227&gt;G227,"OVER high est","within range")))</f>
        <v/>
      </c>
    </row>
    <row r="228" customFormat="false" ht="15" hidden="false" customHeight="true" outlineLevel="0" collapsed="false">
      <c r="A228" s="4" t="n">
        <v>229</v>
      </c>
      <c r="B228" s="6" t="s">
        <v>16</v>
      </c>
      <c r="C228" s="5" t="s">
        <v>434</v>
      </c>
      <c r="D228" s="5" t="s">
        <v>434</v>
      </c>
      <c r="E228" s="4" t="s">
        <v>236</v>
      </c>
      <c r="F228" s="8" t="n">
        <v>50</v>
      </c>
      <c r="G228" s="8" t="n">
        <v>150</v>
      </c>
      <c r="H228" s="4" t="s">
        <v>233</v>
      </c>
      <c r="I228" s="4"/>
      <c r="J228" s="4"/>
      <c r="K228" s="4"/>
      <c r="L228" s="4"/>
      <c r="M228" s="4" t="str">
        <f aca="false">IF(L228="","",IF(L228&lt;F228,"UNDER low est",IF(L228&gt;G228,"OVER high est","within range")))</f>
        <v/>
      </c>
    </row>
    <row r="229" customFormat="false" ht="15" hidden="false" customHeight="true" outlineLevel="0" collapsed="false">
      <c r="A229" s="4" t="n">
        <v>230</v>
      </c>
      <c r="B229" s="6" t="s">
        <v>16</v>
      </c>
      <c r="C229" s="5" t="s">
        <v>435</v>
      </c>
      <c r="D229" s="5" t="s">
        <v>435</v>
      </c>
      <c r="E229" s="4" t="s">
        <v>59</v>
      </c>
      <c r="F229" s="8" t="n">
        <v>50</v>
      </c>
      <c r="G229" s="8" t="n">
        <v>150</v>
      </c>
      <c r="H229" s="4" t="s">
        <v>233</v>
      </c>
      <c r="I229" s="4"/>
      <c r="J229" s="4"/>
      <c r="K229" s="4"/>
      <c r="L229" s="4"/>
      <c r="M229" s="4" t="str">
        <f aca="false">IF(L229="","",IF(L229&lt;F229,"UNDER low est",IF(L229&gt;G229,"OVER high est","within range")))</f>
        <v/>
      </c>
    </row>
    <row r="230" customFormat="false" ht="23.25" hidden="false" customHeight="true" outlineLevel="0" collapsed="false">
      <c r="A230" s="4" t="n">
        <v>231</v>
      </c>
      <c r="B230" s="6" t="s">
        <v>16</v>
      </c>
      <c r="C230" s="17" t="s">
        <v>241</v>
      </c>
      <c r="D230" s="17" t="s">
        <v>436</v>
      </c>
      <c r="E230" s="4" t="s">
        <v>236</v>
      </c>
      <c r="F230" s="8" t="n">
        <v>50</v>
      </c>
      <c r="G230" s="8" t="n">
        <v>150</v>
      </c>
      <c r="H230" s="4" t="s">
        <v>243</v>
      </c>
      <c r="I230" s="4"/>
      <c r="J230" s="4"/>
      <c r="K230" s="4"/>
      <c r="L230" s="4"/>
      <c r="M230" s="4" t="str">
        <f aca="false">IF(L230="","",IF(L230&lt;F230,"UNDER low est",IF(L230&gt;G230,"OVER high est","within range")))</f>
        <v/>
      </c>
    </row>
    <row r="231" customFormat="false" ht="15" hidden="false" customHeight="true" outlineLevel="0" collapsed="false">
      <c r="A231" s="4" t="n">
        <v>232</v>
      </c>
      <c r="B231" s="6" t="s">
        <v>16</v>
      </c>
      <c r="C231" s="5" t="s">
        <v>437</v>
      </c>
      <c r="D231" s="5" t="s">
        <v>437</v>
      </c>
      <c r="E231" s="4" t="s">
        <v>236</v>
      </c>
      <c r="F231" s="8" t="n">
        <v>50</v>
      </c>
      <c r="G231" s="8" t="n">
        <v>150</v>
      </c>
      <c r="H231" s="4" t="s">
        <v>233</v>
      </c>
      <c r="I231" s="4"/>
      <c r="J231" s="4"/>
      <c r="K231" s="4"/>
      <c r="L231" s="4"/>
      <c r="M231" s="4" t="str">
        <f aca="false">IF(L231="","",IF(L231&lt;F231,"UNDER low est",IF(L231&gt;G231,"OVER high est","within range")))</f>
        <v/>
      </c>
    </row>
    <row r="232" customFormat="false" ht="15" hidden="false" customHeight="true" outlineLevel="0" collapsed="false">
      <c r="A232" s="4" t="n">
        <v>233</v>
      </c>
      <c r="B232" s="6" t="s">
        <v>16</v>
      </c>
      <c r="C232" s="5" t="s">
        <v>438</v>
      </c>
      <c r="D232" s="5" t="s">
        <v>438</v>
      </c>
      <c r="E232" s="4" t="s">
        <v>59</v>
      </c>
      <c r="F232" s="8" t="n">
        <v>30</v>
      </c>
      <c r="G232" s="8" t="n">
        <v>90</v>
      </c>
      <c r="H232" s="4" t="s">
        <v>233</v>
      </c>
      <c r="I232" s="4"/>
      <c r="J232" s="4"/>
      <c r="K232" s="4"/>
      <c r="L232" s="4"/>
      <c r="M232" s="4" t="str">
        <f aca="false">IF(L232="","",IF(L232&lt;F232,"UNDER low est",IF(L232&gt;G232,"OVER high est","within range")))</f>
        <v/>
      </c>
    </row>
    <row r="233" customFormat="false" ht="15" hidden="false" customHeight="true" outlineLevel="0" collapsed="false">
      <c r="A233" s="4" t="n">
        <v>234</v>
      </c>
      <c r="B233" s="6" t="s">
        <v>16</v>
      </c>
      <c r="C233" s="17" t="s">
        <v>241</v>
      </c>
      <c r="D233" s="17" t="s">
        <v>439</v>
      </c>
      <c r="E233" s="4" t="s">
        <v>239</v>
      </c>
      <c r="F233" s="8" t="n">
        <v>10</v>
      </c>
      <c r="G233" s="8" t="n">
        <v>50</v>
      </c>
      <c r="H233" s="4" t="s">
        <v>275</v>
      </c>
      <c r="I233" s="4"/>
      <c r="J233" s="4"/>
      <c r="K233" s="4"/>
      <c r="L233" s="4"/>
      <c r="M233" s="4" t="str">
        <f aca="false">IF(L233="","",IF(L233&lt;F233,"UNDER low est",IF(L233&gt;G233,"OVER high est","within range")))</f>
        <v/>
      </c>
    </row>
    <row r="234" customFormat="false" ht="15" hidden="false" customHeight="true" outlineLevel="0" collapsed="false">
      <c r="A234" s="4" t="n">
        <v>235</v>
      </c>
      <c r="B234" s="6" t="s">
        <v>16</v>
      </c>
      <c r="C234" s="5" t="s">
        <v>440</v>
      </c>
      <c r="D234" s="5" t="s">
        <v>440</v>
      </c>
      <c r="E234" s="4" t="s">
        <v>236</v>
      </c>
      <c r="F234" s="8" t="n">
        <v>40</v>
      </c>
      <c r="G234" s="8" t="n">
        <v>150</v>
      </c>
      <c r="H234" s="4" t="s">
        <v>233</v>
      </c>
      <c r="I234" s="4"/>
      <c r="J234" s="4"/>
      <c r="K234" s="4"/>
      <c r="L234" s="4"/>
      <c r="M234" s="4" t="str">
        <f aca="false">IF(L234="","",IF(L234&lt;F234,"UNDER low est",IF(L234&gt;G234,"OVER high est","within range")))</f>
        <v/>
      </c>
    </row>
    <row r="235" customFormat="false" ht="15" hidden="false" customHeight="true" outlineLevel="0" collapsed="false">
      <c r="A235" s="4" t="n">
        <v>236</v>
      </c>
      <c r="B235" s="6" t="s">
        <v>16</v>
      </c>
      <c r="C235" s="5" t="s">
        <v>441</v>
      </c>
      <c r="D235" s="5" t="s">
        <v>441</v>
      </c>
      <c r="E235" s="4" t="s">
        <v>239</v>
      </c>
      <c r="F235" s="8" t="n">
        <v>10</v>
      </c>
      <c r="G235" s="8" t="n">
        <v>50</v>
      </c>
      <c r="H235" s="4" t="s">
        <v>243</v>
      </c>
      <c r="I235" s="4"/>
      <c r="J235" s="4"/>
      <c r="K235" s="4"/>
      <c r="L235" s="4"/>
      <c r="M235" s="4" t="str">
        <f aca="false">IF(L235="","",IF(L235&lt;F235,"UNDER low est",IF(L235&gt;G235,"OVER high est","within range")))</f>
        <v/>
      </c>
    </row>
    <row r="236" customFormat="false" ht="15" hidden="false" customHeight="true" outlineLevel="0" collapsed="false">
      <c r="A236" s="4" t="n">
        <v>237</v>
      </c>
      <c r="B236" s="6" t="s">
        <v>16</v>
      </c>
      <c r="C236" s="5" t="s">
        <v>442</v>
      </c>
      <c r="D236" s="5" t="s">
        <v>442</v>
      </c>
      <c r="E236" s="4" t="s">
        <v>236</v>
      </c>
      <c r="F236" s="8" t="n">
        <v>10</v>
      </c>
      <c r="G236" s="8" t="n">
        <v>50</v>
      </c>
      <c r="H236" s="4" t="s">
        <v>243</v>
      </c>
      <c r="I236" s="4"/>
      <c r="J236" s="4"/>
      <c r="K236" s="4"/>
      <c r="L236" s="4"/>
      <c r="M236" s="4" t="str">
        <f aca="false">IF(L236="","",IF(L236&lt;F236,"UNDER low est",IF(L236&gt;G236,"OVER high est","within range")))</f>
        <v/>
      </c>
    </row>
    <row r="237" customFormat="false" ht="15" hidden="false" customHeight="true" outlineLevel="0" collapsed="false">
      <c r="A237" s="4" t="n">
        <v>238</v>
      </c>
      <c r="B237" s="6" t="s">
        <v>16</v>
      </c>
      <c r="C237" s="5" t="s">
        <v>443</v>
      </c>
      <c r="D237" s="5" t="s">
        <v>443</v>
      </c>
      <c r="E237" s="4" t="s">
        <v>236</v>
      </c>
      <c r="F237" s="8" t="n">
        <v>75</v>
      </c>
      <c r="G237" s="8" t="n">
        <v>200</v>
      </c>
      <c r="H237" s="4" t="s">
        <v>233</v>
      </c>
      <c r="I237" s="4"/>
      <c r="J237" s="4"/>
      <c r="K237" s="4"/>
      <c r="L237" s="4"/>
      <c r="M237" s="4" t="str">
        <f aca="false">IF(L237="","",IF(L237&lt;F237,"UNDER low est",IF(L237&gt;G237,"OVER high est","within range")))</f>
        <v/>
      </c>
    </row>
    <row r="238" customFormat="false" ht="15" hidden="false" customHeight="true" outlineLevel="0" collapsed="false">
      <c r="A238" s="4" t="n">
        <v>239</v>
      </c>
      <c r="B238" s="6" t="s">
        <v>16</v>
      </c>
      <c r="C238" s="5" t="s">
        <v>444</v>
      </c>
      <c r="D238" s="5" t="s">
        <v>444</v>
      </c>
      <c r="E238" s="4" t="s">
        <v>19</v>
      </c>
      <c r="F238" s="8" t="n">
        <v>100</v>
      </c>
      <c r="G238" s="8" t="n">
        <v>600</v>
      </c>
      <c r="H238" s="4" t="s">
        <v>233</v>
      </c>
      <c r="I238" s="16" t="s">
        <v>234</v>
      </c>
      <c r="J238" s="4"/>
      <c r="K238" s="4"/>
      <c r="L238" s="4"/>
      <c r="M238" s="4" t="str">
        <f aca="false">IF(L238="","",IF(L238&lt;F238,"UNDER low est",IF(L238&gt;G238,"OVER high est","within range")))</f>
        <v/>
      </c>
    </row>
    <row r="239" customFormat="false" ht="15" hidden="false" customHeight="true" outlineLevel="0" collapsed="false">
      <c r="A239" s="4" t="n">
        <v>240</v>
      </c>
      <c r="B239" s="6" t="s">
        <v>16</v>
      </c>
      <c r="C239" s="5" t="s">
        <v>23</v>
      </c>
      <c r="D239" s="5" t="s">
        <v>23</v>
      </c>
      <c r="E239" s="4" t="s">
        <v>19</v>
      </c>
      <c r="F239" s="8" t="n">
        <v>150</v>
      </c>
      <c r="G239" s="8" t="n">
        <v>800</v>
      </c>
      <c r="H239" s="4" t="s">
        <v>233</v>
      </c>
      <c r="I239" s="16" t="s">
        <v>234</v>
      </c>
      <c r="J239" s="4"/>
      <c r="K239" s="4"/>
      <c r="L239" s="4"/>
      <c r="M239" s="4" t="str">
        <f aca="false">IF(L239="","",IF(L239&lt;F239,"UNDER low est",IF(L239&gt;G239,"OVER high est","within range")))</f>
        <v/>
      </c>
    </row>
    <row r="240" customFormat="false" ht="15" hidden="false" customHeight="true" outlineLevel="0" collapsed="false">
      <c r="A240" s="4" t="n">
        <v>241</v>
      </c>
      <c r="B240" s="6" t="s">
        <v>16</v>
      </c>
      <c r="C240" s="5" t="s">
        <v>36</v>
      </c>
      <c r="D240" s="5" t="s">
        <v>36</v>
      </c>
      <c r="E240" s="4" t="s">
        <v>19</v>
      </c>
      <c r="F240" s="8" t="n">
        <v>100</v>
      </c>
      <c r="G240" s="8" t="n">
        <v>600</v>
      </c>
      <c r="H240" s="4" t="s">
        <v>233</v>
      </c>
      <c r="I240" s="16" t="s">
        <v>234</v>
      </c>
      <c r="J240" s="4"/>
      <c r="K240" s="4"/>
      <c r="L240" s="4"/>
      <c r="M240" s="4" t="str">
        <f aca="false">IF(L240="","",IF(L240&lt;F240,"UNDER low est",IF(L240&gt;G240,"OVER high est","within range")))</f>
        <v/>
      </c>
    </row>
    <row r="241" customFormat="false" ht="15" hidden="false" customHeight="true" outlineLevel="0" collapsed="false">
      <c r="A241" s="4" t="n">
        <v>242</v>
      </c>
      <c r="B241" s="6" t="s">
        <v>16</v>
      </c>
      <c r="C241" s="17" t="s">
        <v>241</v>
      </c>
      <c r="D241" s="17" t="s">
        <v>445</v>
      </c>
      <c r="E241" s="4" t="s">
        <v>19</v>
      </c>
      <c r="F241" s="8" t="n">
        <v>100</v>
      </c>
      <c r="G241" s="8" t="n">
        <v>600</v>
      </c>
      <c r="H241" s="4" t="s">
        <v>243</v>
      </c>
      <c r="I241" s="16" t="s">
        <v>234</v>
      </c>
      <c r="J241" s="4"/>
      <c r="K241" s="4"/>
      <c r="L241" s="4"/>
      <c r="M241" s="4" t="str">
        <f aca="false">IF(L241="","",IF(L241&lt;F241,"UNDER low est",IF(L241&gt;G241,"OVER high est","within range")))</f>
        <v/>
      </c>
    </row>
    <row r="242" customFormat="false" ht="15" hidden="false" customHeight="true" outlineLevel="0" collapsed="false">
      <c r="A242" s="4" t="n">
        <v>243</v>
      </c>
      <c r="B242" s="6" t="s">
        <v>16</v>
      </c>
      <c r="C242" s="5" t="s">
        <v>37</v>
      </c>
      <c r="D242" s="5" t="s">
        <v>37</v>
      </c>
      <c r="E242" s="4" t="s">
        <v>19</v>
      </c>
      <c r="F242" s="8" t="n">
        <v>150</v>
      </c>
      <c r="G242" s="8" t="n">
        <v>600</v>
      </c>
      <c r="H242" s="4" t="s">
        <v>233</v>
      </c>
      <c r="I242" s="16" t="s">
        <v>234</v>
      </c>
      <c r="J242" s="4"/>
      <c r="K242" s="4"/>
      <c r="L242" s="4"/>
      <c r="M242" s="4" t="str">
        <f aca="false">IF(L242="","",IF(L242&lt;F242,"UNDER low est",IF(L242&gt;G242,"OVER high est","within range")))</f>
        <v/>
      </c>
    </row>
    <row r="243" customFormat="false" ht="15" hidden="false" customHeight="true" outlineLevel="0" collapsed="false">
      <c r="A243" s="4" t="n">
        <v>244</v>
      </c>
      <c r="B243" s="6" t="s">
        <v>16</v>
      </c>
      <c r="C243" s="5" t="s">
        <v>39</v>
      </c>
      <c r="D243" s="5" t="s">
        <v>39</v>
      </c>
      <c r="E243" s="4" t="s">
        <v>19</v>
      </c>
      <c r="F243" s="8" t="n">
        <v>100</v>
      </c>
      <c r="G243" s="8" t="n">
        <v>600</v>
      </c>
      <c r="H243" s="4" t="s">
        <v>233</v>
      </c>
      <c r="I243" s="16" t="s">
        <v>234</v>
      </c>
      <c r="J243" s="4"/>
      <c r="K243" s="4"/>
      <c r="L243" s="4"/>
      <c r="M243" s="4" t="str">
        <f aca="false">IF(L243="","",IF(L243&lt;F243,"UNDER low est",IF(L243&gt;G243,"OVER high est","within range")))</f>
        <v/>
      </c>
    </row>
    <row r="244" customFormat="false" ht="15" hidden="false" customHeight="true" outlineLevel="0" collapsed="false">
      <c r="A244" s="4" t="n">
        <v>245</v>
      </c>
      <c r="B244" s="6" t="s">
        <v>16</v>
      </c>
      <c r="C244" s="17" t="s">
        <v>241</v>
      </c>
      <c r="D244" s="17" t="s">
        <v>446</v>
      </c>
      <c r="E244" s="4" t="s">
        <v>19</v>
      </c>
      <c r="F244" s="8" t="n">
        <v>100</v>
      </c>
      <c r="G244" s="8" t="n">
        <v>600</v>
      </c>
      <c r="H244" s="4" t="s">
        <v>243</v>
      </c>
      <c r="I244" s="16" t="s">
        <v>234</v>
      </c>
      <c r="J244" s="4"/>
      <c r="K244" s="4"/>
      <c r="L244" s="4"/>
      <c r="M244" s="4" t="str">
        <f aca="false">IF(L244="","",IF(L244&lt;F244,"UNDER low est",IF(L244&gt;G244,"OVER high est","within range")))</f>
        <v/>
      </c>
    </row>
    <row r="245" customFormat="false" ht="15" hidden="false" customHeight="true" outlineLevel="0" collapsed="false">
      <c r="A245" s="4" t="n">
        <v>246</v>
      </c>
      <c r="B245" s="6" t="s">
        <v>16</v>
      </c>
      <c r="C245" s="5" t="s">
        <v>40</v>
      </c>
      <c r="D245" s="5" t="s">
        <v>40</v>
      </c>
      <c r="E245" s="4" t="s">
        <v>19</v>
      </c>
      <c r="F245" s="8" t="n">
        <v>100</v>
      </c>
      <c r="G245" s="8" t="n">
        <v>600</v>
      </c>
      <c r="H245" s="4" t="s">
        <v>233</v>
      </c>
      <c r="I245" s="16" t="s">
        <v>234</v>
      </c>
      <c r="J245" s="4"/>
      <c r="K245" s="4"/>
      <c r="L245" s="4"/>
      <c r="M245" s="4" t="str">
        <f aca="false">IF(L245="","",IF(L245&lt;F245,"UNDER low est",IF(L245&gt;G245,"OVER high est","within range")))</f>
        <v/>
      </c>
    </row>
    <row r="246" customFormat="false" ht="15" hidden="false" customHeight="true" outlineLevel="0" collapsed="false">
      <c r="A246" s="4" t="n">
        <v>247</v>
      </c>
      <c r="B246" s="6" t="s">
        <v>16</v>
      </c>
      <c r="C246" s="5" t="s">
        <v>41</v>
      </c>
      <c r="D246" s="5" t="s">
        <v>41</v>
      </c>
      <c r="E246" s="4" t="s">
        <v>19</v>
      </c>
      <c r="F246" s="8" t="n">
        <v>150</v>
      </c>
      <c r="G246" s="8" t="n">
        <v>700</v>
      </c>
      <c r="H246" s="4" t="s">
        <v>233</v>
      </c>
      <c r="I246" s="16" t="s">
        <v>234</v>
      </c>
      <c r="J246" s="4"/>
      <c r="K246" s="4"/>
      <c r="L246" s="4"/>
      <c r="M246" s="4" t="str">
        <f aca="false">IF(L246="","",IF(L246&lt;F246,"UNDER low est",IF(L246&gt;G246,"OVER high est","within range")))</f>
        <v/>
      </c>
    </row>
    <row r="247" customFormat="false" ht="23.25" hidden="false" customHeight="true" outlineLevel="0" collapsed="false">
      <c r="A247" s="4" t="n">
        <v>248</v>
      </c>
      <c r="B247" s="6" t="s">
        <v>16</v>
      </c>
      <c r="C247" s="17" t="s">
        <v>241</v>
      </c>
      <c r="D247" s="17" t="s">
        <v>447</v>
      </c>
      <c r="E247" s="4" t="s">
        <v>19</v>
      </c>
      <c r="F247" s="8" t="n">
        <v>100</v>
      </c>
      <c r="G247" s="8" t="n">
        <v>500</v>
      </c>
      <c r="H247" s="4" t="s">
        <v>243</v>
      </c>
      <c r="I247" s="16" t="s">
        <v>234</v>
      </c>
      <c r="J247" s="4"/>
      <c r="K247" s="4"/>
      <c r="L247" s="4"/>
      <c r="M247" s="4" t="str">
        <f aca="false">IF(L247="","",IF(L247&lt;F247,"UNDER low est",IF(L247&gt;G247,"OVER high est","within range")))</f>
        <v/>
      </c>
    </row>
    <row r="248" customFormat="false" ht="23.25" hidden="false" customHeight="true" outlineLevel="0" collapsed="false">
      <c r="A248" s="4" t="n">
        <v>249</v>
      </c>
      <c r="B248" s="6" t="s">
        <v>16</v>
      </c>
      <c r="C248" s="17" t="s">
        <v>241</v>
      </c>
      <c r="D248" s="17" t="s">
        <v>448</v>
      </c>
      <c r="E248" s="4" t="s">
        <v>19</v>
      </c>
      <c r="F248" s="8" t="n">
        <v>100</v>
      </c>
      <c r="G248" s="8" t="n">
        <v>500</v>
      </c>
      <c r="H248" s="4" t="s">
        <v>243</v>
      </c>
      <c r="I248" s="16" t="s">
        <v>234</v>
      </c>
      <c r="J248" s="4"/>
      <c r="K248" s="4"/>
      <c r="L248" s="4"/>
      <c r="M248" s="4" t="str">
        <f aca="false">IF(L248="","",IF(L248&lt;F248,"UNDER low est",IF(L248&gt;G248,"OVER high est","within range")))</f>
        <v/>
      </c>
    </row>
    <row r="249" customFormat="false" ht="15" hidden="false" customHeight="true" outlineLevel="0" collapsed="false">
      <c r="A249" s="4" t="n">
        <v>250</v>
      </c>
      <c r="B249" s="6" t="s">
        <v>16</v>
      </c>
      <c r="C249" s="5" t="s">
        <v>21</v>
      </c>
      <c r="D249" s="5" t="s">
        <v>21</v>
      </c>
      <c r="E249" s="4" t="s">
        <v>19</v>
      </c>
      <c r="F249" s="8" t="n">
        <v>150</v>
      </c>
      <c r="G249" s="8" t="n">
        <v>800</v>
      </c>
      <c r="H249" s="4" t="s">
        <v>233</v>
      </c>
      <c r="I249" s="16" t="s">
        <v>234</v>
      </c>
      <c r="J249" s="4"/>
      <c r="K249" s="4"/>
      <c r="L249" s="4"/>
      <c r="M249" s="4" t="str">
        <f aca="false">IF(L249="","",IF(L249&lt;F249,"UNDER low est",IF(L249&gt;G249,"OVER high est","within range")))</f>
        <v/>
      </c>
    </row>
    <row r="250" customFormat="false" ht="15" hidden="false" customHeight="true" outlineLevel="0" collapsed="false">
      <c r="A250" s="4" t="n">
        <v>251</v>
      </c>
      <c r="B250" s="6" t="s">
        <v>16</v>
      </c>
      <c r="C250" s="5" t="s">
        <v>22</v>
      </c>
      <c r="D250" s="5" t="s">
        <v>22</v>
      </c>
      <c r="E250" s="4" t="s">
        <v>19</v>
      </c>
      <c r="F250" s="8" t="n">
        <v>150</v>
      </c>
      <c r="G250" s="8" t="n">
        <v>800</v>
      </c>
      <c r="H250" s="4" t="s">
        <v>233</v>
      </c>
      <c r="I250" s="16" t="s">
        <v>234</v>
      </c>
      <c r="J250" s="4"/>
      <c r="K250" s="4"/>
      <c r="L250" s="4"/>
      <c r="M250" s="4" t="str">
        <f aca="false">IF(L250="","",IF(L250&lt;F250,"UNDER low est",IF(L250&gt;G250,"OVER high est","within range")))</f>
        <v/>
      </c>
    </row>
    <row r="251" customFormat="false" ht="15" hidden="false" customHeight="true" outlineLevel="0" collapsed="false">
      <c r="A251" s="4" t="n">
        <v>252</v>
      </c>
      <c r="B251" s="6" t="s">
        <v>16</v>
      </c>
      <c r="C251" s="17" t="s">
        <v>241</v>
      </c>
      <c r="D251" s="17" t="s">
        <v>449</v>
      </c>
      <c r="E251" s="4" t="s">
        <v>19</v>
      </c>
      <c r="F251" s="8" t="n">
        <v>150</v>
      </c>
      <c r="G251" s="8" t="n">
        <v>800</v>
      </c>
      <c r="H251" s="4" t="s">
        <v>243</v>
      </c>
      <c r="I251" s="16" t="s">
        <v>234</v>
      </c>
      <c r="J251" s="4"/>
      <c r="K251" s="4"/>
      <c r="L251" s="4"/>
      <c r="M251" s="4" t="str">
        <f aca="false">IF(L251="","",IF(L251&lt;F251,"UNDER low est",IF(L251&gt;G251,"OVER high est","within range")))</f>
        <v/>
      </c>
    </row>
    <row r="252" customFormat="false" ht="15" hidden="false" customHeight="true" outlineLevel="0" collapsed="false">
      <c r="A252" s="4" t="n">
        <v>253</v>
      </c>
      <c r="B252" s="6" t="s">
        <v>16</v>
      </c>
      <c r="C252" s="17" t="s">
        <v>241</v>
      </c>
      <c r="D252" s="17" t="s">
        <v>450</v>
      </c>
      <c r="E252" s="4" t="s">
        <v>19</v>
      </c>
      <c r="F252" s="8" t="n">
        <v>150</v>
      </c>
      <c r="G252" s="8" t="n">
        <v>800</v>
      </c>
      <c r="H252" s="4" t="s">
        <v>243</v>
      </c>
      <c r="I252" s="16" t="s">
        <v>234</v>
      </c>
      <c r="J252" s="4"/>
      <c r="K252" s="4"/>
      <c r="L252" s="4"/>
      <c r="M252" s="4" t="str">
        <f aca="false">IF(L252="","",IF(L252&lt;F252,"UNDER low est",IF(L252&gt;G252,"OVER high est","within range")))</f>
        <v/>
      </c>
    </row>
    <row r="253" customFormat="false" ht="15" hidden="false" customHeight="true" outlineLevel="0" collapsed="false">
      <c r="A253" s="4" t="n">
        <v>254</v>
      </c>
      <c r="B253" s="6" t="s">
        <v>16</v>
      </c>
      <c r="C253" s="5" t="s">
        <v>451</v>
      </c>
      <c r="D253" s="5" t="s">
        <v>451</v>
      </c>
      <c r="E253" s="4" t="s">
        <v>19</v>
      </c>
      <c r="F253" s="8" t="n">
        <v>150</v>
      </c>
      <c r="G253" s="8" t="n">
        <v>800</v>
      </c>
      <c r="H253" s="4" t="s">
        <v>233</v>
      </c>
      <c r="I253" s="16" t="s">
        <v>234</v>
      </c>
      <c r="J253" s="4"/>
      <c r="K253" s="4"/>
      <c r="L253" s="4"/>
      <c r="M253" s="4" t="str">
        <f aca="false">IF(L253="","",IF(L253&lt;F253,"UNDER low est",IF(L253&gt;G253,"OVER high est","within range")))</f>
        <v/>
      </c>
    </row>
    <row r="254" customFormat="false" ht="15" hidden="false" customHeight="true" outlineLevel="0" collapsed="false">
      <c r="A254" s="4" t="n">
        <v>255</v>
      </c>
      <c r="B254" s="6" t="s">
        <v>16</v>
      </c>
      <c r="C254" s="5" t="s">
        <v>452</v>
      </c>
      <c r="D254" s="5" t="s">
        <v>452</v>
      </c>
      <c r="E254" s="4" t="s">
        <v>236</v>
      </c>
      <c r="F254" s="8" t="n">
        <v>20</v>
      </c>
      <c r="G254" s="8" t="n">
        <v>60</v>
      </c>
      <c r="H254" s="4" t="s">
        <v>233</v>
      </c>
      <c r="I254" s="4"/>
      <c r="J254" s="4"/>
      <c r="K254" s="4"/>
      <c r="L254" s="4"/>
      <c r="M254" s="4" t="str">
        <f aca="false">IF(L254="","",IF(L254&lt;F254,"UNDER low est",IF(L254&gt;G254,"OVER high est","within range")))</f>
        <v/>
      </c>
    </row>
    <row r="255" customFormat="false" ht="15" hidden="false" customHeight="true" outlineLevel="0" collapsed="false">
      <c r="A255" s="4" t="n">
        <v>256</v>
      </c>
      <c r="B255" s="6" t="s">
        <v>16</v>
      </c>
      <c r="C255" s="5" t="s">
        <v>453</v>
      </c>
      <c r="D255" s="5" t="s">
        <v>453</v>
      </c>
      <c r="E255" s="4" t="s">
        <v>236</v>
      </c>
      <c r="F255" s="8" t="n">
        <v>20</v>
      </c>
      <c r="G255" s="8" t="n">
        <v>60</v>
      </c>
      <c r="H255" s="4" t="s">
        <v>233</v>
      </c>
      <c r="I255" s="4"/>
      <c r="J255" s="4"/>
      <c r="K255" s="4"/>
      <c r="L255" s="4"/>
      <c r="M255" s="4" t="str">
        <f aca="false">IF(L255="","",IF(L255&lt;F255,"UNDER low est",IF(L255&gt;G255,"OVER high est","within range")))</f>
        <v/>
      </c>
    </row>
    <row r="256" customFormat="false" ht="23.25" hidden="false" customHeight="true" outlineLevel="0" collapsed="false">
      <c r="A256" s="4" t="n">
        <v>257</v>
      </c>
      <c r="B256" s="6" t="s">
        <v>16</v>
      </c>
      <c r="C256" s="17" t="s">
        <v>241</v>
      </c>
      <c r="D256" s="17" t="s">
        <v>454</v>
      </c>
      <c r="E256" s="4" t="s">
        <v>236</v>
      </c>
      <c r="F256" s="8" t="n">
        <v>20</v>
      </c>
      <c r="G256" s="8" t="n">
        <v>80</v>
      </c>
      <c r="H256" s="4" t="s">
        <v>243</v>
      </c>
      <c r="I256" s="16" t="s">
        <v>234</v>
      </c>
      <c r="J256" s="4"/>
      <c r="K256" s="4"/>
      <c r="L256" s="4"/>
      <c r="M256" s="4" t="str">
        <f aca="false">IF(L256="","",IF(L256&lt;F256,"UNDER low est",IF(L256&gt;G256,"OVER high est","within range")))</f>
        <v/>
      </c>
    </row>
    <row r="257" customFormat="false" ht="23.25" hidden="false" customHeight="true" outlineLevel="0" collapsed="false">
      <c r="A257" s="4" t="n">
        <v>258</v>
      </c>
      <c r="B257" s="6" t="s">
        <v>16</v>
      </c>
      <c r="C257" s="17" t="s">
        <v>241</v>
      </c>
      <c r="D257" s="17" t="s">
        <v>454</v>
      </c>
      <c r="E257" s="4" t="s">
        <v>236</v>
      </c>
      <c r="F257" s="8" t="n">
        <v>20</v>
      </c>
      <c r="G257" s="8" t="n">
        <v>80</v>
      </c>
      <c r="H257" s="4" t="s">
        <v>243</v>
      </c>
      <c r="I257" s="4"/>
      <c r="J257" s="4"/>
      <c r="K257" s="4"/>
      <c r="L257" s="4"/>
      <c r="M257" s="4" t="str">
        <f aca="false">IF(L257="","",IF(L257&lt;F257,"UNDER low est",IF(L257&gt;G257,"OVER high est","within range")))</f>
        <v/>
      </c>
    </row>
    <row r="258" customFormat="false" ht="15" hidden="false" customHeight="true" outlineLevel="0" collapsed="false">
      <c r="A258" s="4" t="n">
        <v>259</v>
      </c>
      <c r="B258" s="6" t="s">
        <v>16</v>
      </c>
      <c r="C258" s="5" t="s">
        <v>455</v>
      </c>
      <c r="D258" s="5" t="s">
        <v>455</v>
      </c>
      <c r="E258" s="4" t="s">
        <v>236</v>
      </c>
      <c r="F258" s="8" t="n">
        <v>20</v>
      </c>
      <c r="G258" s="8" t="n">
        <v>60</v>
      </c>
      <c r="H258" s="4" t="s">
        <v>233</v>
      </c>
      <c r="I258" s="4"/>
      <c r="J258" s="4"/>
      <c r="K258" s="4"/>
      <c r="L258" s="4"/>
      <c r="M258" s="4" t="str">
        <f aca="false">IF(L258="","",IF(L258&lt;F258,"UNDER low est",IF(L258&gt;G258,"OVER high est","within range")))</f>
        <v/>
      </c>
    </row>
    <row r="259" customFormat="false" ht="15" hidden="false" customHeight="true" outlineLevel="0" collapsed="false">
      <c r="A259" s="4" t="n">
        <v>260</v>
      </c>
      <c r="B259" s="6" t="s">
        <v>16</v>
      </c>
      <c r="C259" s="17" t="s">
        <v>241</v>
      </c>
      <c r="D259" s="17" t="s">
        <v>456</v>
      </c>
      <c r="E259" s="4" t="s">
        <v>236</v>
      </c>
      <c r="F259" s="8" t="n">
        <v>10</v>
      </c>
      <c r="G259" s="8" t="n">
        <v>50</v>
      </c>
      <c r="H259" s="4" t="s">
        <v>275</v>
      </c>
      <c r="I259" s="4"/>
      <c r="J259" s="4"/>
      <c r="K259" s="4"/>
      <c r="L259" s="4"/>
      <c r="M259" s="4" t="str">
        <f aca="false">IF(L259="","",IF(L259&lt;F259,"UNDER low est",IF(L259&gt;G259,"OVER high est","within range")))</f>
        <v/>
      </c>
    </row>
    <row r="260" customFormat="false" ht="15" hidden="false" customHeight="true" outlineLevel="0" collapsed="false">
      <c r="A260" s="4" t="n">
        <v>261</v>
      </c>
      <c r="B260" s="6" t="s">
        <v>16</v>
      </c>
      <c r="C260" s="17" t="s">
        <v>241</v>
      </c>
      <c r="D260" s="17" t="s">
        <v>457</v>
      </c>
      <c r="E260" s="4" t="s">
        <v>236</v>
      </c>
      <c r="F260" s="8" t="n">
        <v>10</v>
      </c>
      <c r="G260" s="8" t="n">
        <v>50</v>
      </c>
      <c r="H260" s="4" t="s">
        <v>275</v>
      </c>
      <c r="I260" s="4"/>
      <c r="J260" s="4"/>
      <c r="K260" s="4"/>
      <c r="L260" s="4"/>
      <c r="M260" s="4" t="str">
        <f aca="false">IF(L260="","",IF(L260&lt;F260,"UNDER low est",IF(L260&gt;G260,"OVER high est","within range")))</f>
        <v/>
      </c>
    </row>
    <row r="261" customFormat="false" ht="15" hidden="false" customHeight="true" outlineLevel="0" collapsed="false">
      <c r="A261" s="4" t="n">
        <v>262</v>
      </c>
      <c r="B261" s="6" t="s">
        <v>16</v>
      </c>
      <c r="C261" s="5" t="s">
        <v>458</v>
      </c>
      <c r="D261" s="5" t="s">
        <v>458</v>
      </c>
      <c r="E261" s="4" t="s">
        <v>236</v>
      </c>
      <c r="F261" s="8" t="n">
        <v>20</v>
      </c>
      <c r="G261" s="8" t="n">
        <v>60</v>
      </c>
      <c r="H261" s="4" t="s">
        <v>233</v>
      </c>
      <c r="I261" s="4"/>
      <c r="J261" s="4"/>
      <c r="K261" s="4"/>
      <c r="L261" s="4"/>
      <c r="M261" s="4" t="str">
        <f aca="false">IF(L261="","",IF(L261&lt;F261,"UNDER low est",IF(L261&gt;G261,"OVER high est","within range")))</f>
        <v/>
      </c>
    </row>
    <row r="262" customFormat="false" ht="23.25" hidden="false" customHeight="true" outlineLevel="0" collapsed="false">
      <c r="A262" s="4" t="n">
        <v>263</v>
      </c>
      <c r="B262" s="6" t="s">
        <v>16</v>
      </c>
      <c r="C262" s="17" t="s">
        <v>241</v>
      </c>
      <c r="D262" s="17" t="s">
        <v>459</v>
      </c>
      <c r="E262" s="4" t="s">
        <v>460</v>
      </c>
      <c r="F262" s="8" t="n">
        <v>10</v>
      </c>
      <c r="G262" s="8" t="n">
        <v>50</v>
      </c>
      <c r="H262" s="4" t="s">
        <v>275</v>
      </c>
      <c r="I262" s="16" t="s">
        <v>234</v>
      </c>
      <c r="J262" s="4"/>
      <c r="K262" s="4"/>
      <c r="L262" s="4"/>
      <c r="M262" s="4" t="str">
        <f aca="false">IF(L262="","",IF(L262&lt;F262,"UNDER low est",IF(L262&gt;G262,"OVER high est","within range")))</f>
        <v/>
      </c>
    </row>
    <row r="263" customFormat="false" ht="15" hidden="false" customHeight="true" outlineLevel="0" collapsed="false">
      <c r="A263" s="4" t="n">
        <v>264</v>
      </c>
      <c r="B263" s="6" t="s">
        <v>16</v>
      </c>
      <c r="C263" s="5" t="s">
        <v>461</v>
      </c>
      <c r="D263" s="5" t="s">
        <v>461</v>
      </c>
      <c r="E263" s="4" t="s">
        <v>460</v>
      </c>
      <c r="F263" s="8" t="n">
        <v>15</v>
      </c>
      <c r="G263" s="8" t="n">
        <v>60</v>
      </c>
      <c r="H263" s="4" t="s">
        <v>233</v>
      </c>
      <c r="I263" s="4"/>
      <c r="J263" s="4"/>
      <c r="K263" s="4"/>
      <c r="L263" s="4"/>
      <c r="M263" s="4" t="str">
        <f aca="false">IF(L263="","",IF(L263&lt;F263,"UNDER low est",IF(L263&gt;G263,"OVER high est","within range")))</f>
        <v/>
      </c>
    </row>
    <row r="264" customFormat="false" ht="15" hidden="false" customHeight="true" outlineLevel="0" collapsed="false">
      <c r="A264" s="4" t="n">
        <v>265</v>
      </c>
      <c r="B264" s="6" t="s">
        <v>16</v>
      </c>
      <c r="C264" s="5" t="s">
        <v>126</v>
      </c>
      <c r="D264" s="5" t="s">
        <v>126</v>
      </c>
      <c r="E264" s="4" t="s">
        <v>460</v>
      </c>
      <c r="F264" s="8" t="n">
        <v>50</v>
      </c>
      <c r="G264" s="8" t="n">
        <v>250</v>
      </c>
      <c r="H264" s="4" t="s">
        <v>233</v>
      </c>
      <c r="I264" s="16" t="s">
        <v>234</v>
      </c>
      <c r="J264" s="4"/>
      <c r="K264" s="4"/>
      <c r="L264" s="4"/>
      <c r="M264" s="4" t="str">
        <f aca="false">IF(L264="","",IF(L264&lt;F264,"UNDER low est",IF(L264&gt;G264,"OVER high est","within range")))</f>
        <v/>
      </c>
    </row>
    <row r="265" customFormat="false" ht="23.25" hidden="false" customHeight="true" outlineLevel="0" collapsed="false">
      <c r="A265" s="4" t="n">
        <v>266</v>
      </c>
      <c r="B265" s="6" t="s">
        <v>16</v>
      </c>
      <c r="C265" s="17" t="s">
        <v>241</v>
      </c>
      <c r="D265" s="17" t="s">
        <v>462</v>
      </c>
      <c r="E265" s="4" t="s">
        <v>460</v>
      </c>
      <c r="F265" s="8" t="n">
        <v>50</v>
      </c>
      <c r="G265" s="8" t="n">
        <v>250</v>
      </c>
      <c r="H265" s="4" t="s">
        <v>243</v>
      </c>
      <c r="I265" s="16" t="s">
        <v>234</v>
      </c>
      <c r="J265" s="4"/>
      <c r="K265" s="4"/>
      <c r="L265" s="4"/>
      <c r="M265" s="4" t="str">
        <f aca="false">IF(L265="","",IF(L265&lt;F265,"UNDER low est",IF(L265&gt;G265,"OVER high est","within range")))</f>
        <v/>
      </c>
    </row>
    <row r="266" customFormat="false" ht="15" hidden="false" customHeight="true" outlineLevel="0" collapsed="false">
      <c r="A266" s="4" t="n">
        <v>267</v>
      </c>
      <c r="B266" s="6" t="s">
        <v>16</v>
      </c>
      <c r="C266" s="17" t="s">
        <v>241</v>
      </c>
      <c r="D266" s="17" t="s">
        <v>463</v>
      </c>
      <c r="E266" s="4" t="s">
        <v>239</v>
      </c>
      <c r="F266" s="8" t="n">
        <v>10</v>
      </c>
      <c r="G266" s="8" t="n">
        <v>50</v>
      </c>
      <c r="H266" s="4" t="s">
        <v>275</v>
      </c>
      <c r="I266" s="4"/>
      <c r="J266" s="4"/>
      <c r="K266" s="4"/>
      <c r="L266" s="4"/>
      <c r="M266" s="4" t="str">
        <f aca="false">IF(L266="","",IF(L266&lt;F266,"UNDER low est",IF(L266&gt;G266,"OVER high est","within range")))</f>
        <v/>
      </c>
    </row>
    <row r="267" customFormat="false" ht="15" hidden="false" customHeight="true" outlineLevel="0" collapsed="false">
      <c r="A267" s="4" t="n">
        <v>268</v>
      </c>
      <c r="B267" s="6" t="s">
        <v>16</v>
      </c>
      <c r="C267" s="17" t="s">
        <v>241</v>
      </c>
      <c r="D267" s="17" t="s">
        <v>464</v>
      </c>
      <c r="E267" s="4" t="s">
        <v>239</v>
      </c>
      <c r="F267" s="8" t="n">
        <v>10</v>
      </c>
      <c r="G267" s="8" t="n">
        <v>50</v>
      </c>
      <c r="H267" s="4" t="s">
        <v>275</v>
      </c>
      <c r="I267" s="4"/>
      <c r="J267" s="4"/>
      <c r="K267" s="4"/>
      <c r="L267" s="4"/>
      <c r="M267" s="4" t="str">
        <f aca="false">IF(L267="","",IF(L267&lt;F267,"UNDER low est",IF(L267&gt;G267,"OVER high est","within range")))</f>
        <v/>
      </c>
    </row>
    <row r="268" customFormat="false" ht="15" hidden="false" customHeight="true" outlineLevel="0" collapsed="false">
      <c r="A268" s="4" t="n">
        <v>269</v>
      </c>
      <c r="B268" s="6" t="s">
        <v>16</v>
      </c>
      <c r="C268" s="17" t="s">
        <v>241</v>
      </c>
      <c r="D268" s="17" t="s">
        <v>465</v>
      </c>
      <c r="E268" s="4" t="s">
        <v>239</v>
      </c>
      <c r="F268" s="8" t="n">
        <v>10</v>
      </c>
      <c r="G268" s="8" t="n">
        <v>50</v>
      </c>
      <c r="H268" s="4" t="s">
        <v>275</v>
      </c>
      <c r="I268" s="4"/>
      <c r="J268" s="4"/>
      <c r="K268" s="4"/>
      <c r="L268" s="4"/>
      <c r="M268" s="4" t="str">
        <f aca="false">IF(L268="","",IF(L268&lt;F268,"UNDER low est",IF(L268&gt;G268,"OVER high est","within range")))</f>
        <v/>
      </c>
    </row>
    <row r="269" customFormat="false" ht="15" hidden="false" customHeight="true" outlineLevel="0" collapsed="false">
      <c r="A269" s="4" t="n">
        <v>270</v>
      </c>
      <c r="B269" s="6" t="s">
        <v>16</v>
      </c>
      <c r="C269" s="5" t="s">
        <v>466</v>
      </c>
      <c r="D269" s="5" t="s">
        <v>466</v>
      </c>
      <c r="E269" s="4" t="s">
        <v>460</v>
      </c>
      <c r="F269" s="8" t="n">
        <v>100</v>
      </c>
      <c r="G269" s="8" t="n">
        <v>300</v>
      </c>
      <c r="H269" s="4" t="s">
        <v>233</v>
      </c>
      <c r="I269" s="16" t="s">
        <v>234</v>
      </c>
      <c r="J269" s="4"/>
      <c r="K269" s="4"/>
      <c r="L269" s="4"/>
      <c r="M269" s="4" t="str">
        <f aca="false">IF(L269="","",IF(L269&lt;F269,"UNDER low est",IF(L269&gt;G269,"OVER high est","within range")))</f>
        <v/>
      </c>
    </row>
    <row r="270" customFormat="false" ht="15" hidden="false" customHeight="true" outlineLevel="0" collapsed="false">
      <c r="A270" s="4" t="n">
        <v>271</v>
      </c>
      <c r="B270" s="6" t="s">
        <v>16</v>
      </c>
      <c r="C270" s="5" t="s">
        <v>467</v>
      </c>
      <c r="D270" s="5" t="s">
        <v>467</v>
      </c>
      <c r="E270" s="4" t="s">
        <v>460</v>
      </c>
      <c r="F270" s="8" t="n">
        <v>100</v>
      </c>
      <c r="G270" s="8" t="n">
        <v>300</v>
      </c>
      <c r="H270" s="4" t="s">
        <v>233</v>
      </c>
      <c r="I270" s="4"/>
      <c r="J270" s="4"/>
      <c r="K270" s="4"/>
      <c r="L270" s="4"/>
      <c r="M270" s="4" t="str">
        <f aca="false">IF(L270="","",IF(L270&lt;F270,"UNDER low est",IF(L270&gt;G270,"OVER high est","within range")))</f>
        <v/>
      </c>
    </row>
    <row r="271" customFormat="false" ht="15" hidden="false" customHeight="true" outlineLevel="0" collapsed="false">
      <c r="A271" s="4" t="n">
        <v>272</v>
      </c>
      <c r="B271" s="6" t="s">
        <v>16</v>
      </c>
      <c r="C271" s="5" t="s">
        <v>468</v>
      </c>
      <c r="D271" s="5" t="s">
        <v>468</v>
      </c>
      <c r="E271" s="4" t="s">
        <v>460</v>
      </c>
      <c r="F271" s="8" t="n">
        <v>100</v>
      </c>
      <c r="G271" s="8" t="n">
        <v>300</v>
      </c>
      <c r="H271" s="4" t="s">
        <v>233</v>
      </c>
      <c r="I271" s="4"/>
      <c r="J271" s="4"/>
      <c r="K271" s="4"/>
      <c r="L271" s="4"/>
      <c r="M271" s="4" t="str">
        <f aca="false">IF(L271="","",IF(L271&lt;F271,"UNDER low est",IF(L271&gt;G271,"OVER high est","within range")))</f>
        <v/>
      </c>
    </row>
    <row r="272" customFormat="false" ht="15" hidden="false" customHeight="true" outlineLevel="0" collapsed="false">
      <c r="A272" s="4" t="n">
        <v>273</v>
      </c>
      <c r="B272" s="6" t="s">
        <v>16</v>
      </c>
      <c r="C272" s="17" t="s">
        <v>241</v>
      </c>
      <c r="D272" s="17" t="s">
        <v>469</v>
      </c>
      <c r="E272" s="4" t="s">
        <v>239</v>
      </c>
      <c r="F272" s="8" t="n">
        <v>10</v>
      </c>
      <c r="G272" s="8" t="n">
        <v>50</v>
      </c>
      <c r="H272" s="4" t="s">
        <v>275</v>
      </c>
      <c r="I272" s="4"/>
      <c r="J272" s="4"/>
      <c r="K272" s="4"/>
      <c r="L272" s="4"/>
      <c r="M272" s="4" t="str">
        <f aca="false">IF(L272="","",IF(L272&lt;F272,"UNDER low est",IF(L272&gt;G272,"OVER high est","within range")))</f>
        <v/>
      </c>
    </row>
    <row r="273" customFormat="false" ht="15" hidden="false" customHeight="true" outlineLevel="0" collapsed="false">
      <c r="A273" s="4" t="n">
        <v>274</v>
      </c>
      <c r="B273" s="6" t="s">
        <v>16</v>
      </c>
      <c r="C273" s="17" t="s">
        <v>241</v>
      </c>
      <c r="D273" s="17" t="s">
        <v>470</v>
      </c>
      <c r="E273" s="4" t="s">
        <v>460</v>
      </c>
      <c r="F273" s="8" t="n">
        <v>10</v>
      </c>
      <c r="G273" s="8" t="n">
        <v>50</v>
      </c>
      <c r="H273" s="4" t="s">
        <v>275</v>
      </c>
      <c r="I273" s="4"/>
      <c r="J273" s="4"/>
      <c r="K273" s="4"/>
      <c r="L273" s="4"/>
      <c r="M273" s="4" t="str">
        <f aca="false">IF(L273="","",IF(L273&lt;F273,"UNDER low est",IF(L273&gt;G273,"OVER high est","within range")))</f>
        <v/>
      </c>
    </row>
    <row r="274" customFormat="false" ht="15" hidden="false" customHeight="true" outlineLevel="0" collapsed="false">
      <c r="A274" s="4" t="n">
        <v>275</v>
      </c>
      <c r="B274" s="6" t="s">
        <v>16</v>
      </c>
      <c r="C274" s="5" t="s">
        <v>471</v>
      </c>
      <c r="D274" s="5" t="s">
        <v>471</v>
      </c>
      <c r="E274" s="4" t="s">
        <v>472</v>
      </c>
      <c r="F274" s="8" t="n">
        <v>10</v>
      </c>
      <c r="G274" s="8" t="n">
        <v>50</v>
      </c>
      <c r="H274" s="4" t="s">
        <v>243</v>
      </c>
      <c r="I274" s="4"/>
      <c r="J274" s="4"/>
      <c r="K274" s="4"/>
      <c r="L274" s="4"/>
      <c r="M274" s="4" t="str">
        <f aca="false">IF(L274="","",IF(L274&lt;F274,"UNDER low est",IF(L274&gt;G274,"OVER high est","within range")))</f>
        <v/>
      </c>
    </row>
    <row r="275" customFormat="false" ht="15" hidden="false" customHeight="true" outlineLevel="0" collapsed="false">
      <c r="A275" s="4" t="n">
        <v>276</v>
      </c>
      <c r="B275" s="6" t="s">
        <v>16</v>
      </c>
      <c r="C275" s="17" t="s">
        <v>241</v>
      </c>
      <c r="D275" s="17" t="s">
        <v>473</v>
      </c>
      <c r="E275" s="4" t="s">
        <v>239</v>
      </c>
      <c r="F275" s="8" t="n">
        <v>10</v>
      </c>
      <c r="G275" s="8" t="n">
        <v>50</v>
      </c>
      <c r="H275" s="4" t="s">
        <v>275</v>
      </c>
      <c r="I275" s="4"/>
      <c r="J275" s="4"/>
      <c r="K275" s="4"/>
      <c r="L275" s="4"/>
      <c r="M275" s="4" t="str">
        <f aca="false">IF(L275="","",IF(L275&lt;F275,"UNDER low est",IF(L275&gt;G275,"OVER high est","within range")))</f>
        <v/>
      </c>
    </row>
    <row r="276" customFormat="false" ht="15" hidden="false" customHeight="true" outlineLevel="0" collapsed="false">
      <c r="A276" s="4" t="n">
        <v>277</v>
      </c>
      <c r="B276" s="6" t="s">
        <v>16</v>
      </c>
      <c r="C276" s="5" t="s">
        <v>474</v>
      </c>
      <c r="D276" s="5" t="s">
        <v>474</v>
      </c>
      <c r="E276" s="4" t="s">
        <v>460</v>
      </c>
      <c r="F276" s="8" t="n">
        <v>10</v>
      </c>
      <c r="G276" s="8" t="n">
        <v>50</v>
      </c>
      <c r="H276" s="4" t="s">
        <v>243</v>
      </c>
      <c r="I276" s="4"/>
      <c r="J276" s="4"/>
      <c r="K276" s="4"/>
      <c r="L276" s="4"/>
      <c r="M276" s="4" t="str">
        <f aca="false">IF(L276="","",IF(L276&lt;F276,"UNDER low est",IF(L276&gt;G276,"OVER high est","within range")))</f>
        <v/>
      </c>
    </row>
    <row r="277" customFormat="false" ht="15" hidden="false" customHeight="true" outlineLevel="0" collapsed="false">
      <c r="A277" s="4" t="n">
        <v>278</v>
      </c>
      <c r="B277" s="6" t="s">
        <v>16</v>
      </c>
      <c r="C277" s="5" t="s">
        <v>475</v>
      </c>
      <c r="D277" s="5" t="s">
        <v>475</v>
      </c>
      <c r="E277" s="4" t="s">
        <v>472</v>
      </c>
      <c r="F277" s="8" t="n">
        <v>10</v>
      </c>
      <c r="G277" s="8" t="n">
        <v>50</v>
      </c>
      <c r="H277" s="4" t="s">
        <v>243</v>
      </c>
      <c r="I277" s="4"/>
      <c r="J277" s="4"/>
      <c r="K277" s="4"/>
      <c r="L277" s="4"/>
      <c r="M277" s="4" t="str">
        <f aca="false">IF(L277="","",IF(L277&lt;F277,"UNDER low est",IF(L277&gt;G277,"OVER high est","within range")))</f>
        <v/>
      </c>
    </row>
    <row r="278" customFormat="false" ht="15" hidden="false" customHeight="true" outlineLevel="0" collapsed="false">
      <c r="A278" s="4" t="n">
        <v>279</v>
      </c>
      <c r="B278" s="6" t="s">
        <v>16</v>
      </c>
      <c r="C278" s="17" t="s">
        <v>241</v>
      </c>
      <c r="D278" s="17" t="s">
        <v>476</v>
      </c>
      <c r="E278" s="4" t="s">
        <v>239</v>
      </c>
      <c r="F278" s="8" t="n">
        <v>10</v>
      </c>
      <c r="G278" s="8" t="n">
        <v>50</v>
      </c>
      <c r="H278" s="4" t="s">
        <v>275</v>
      </c>
      <c r="I278" s="4"/>
      <c r="J278" s="4"/>
      <c r="K278" s="4"/>
      <c r="L278" s="4"/>
      <c r="M278" s="4" t="str">
        <f aca="false">IF(L278="","",IF(L278&lt;F278,"UNDER low est",IF(L278&gt;G278,"OVER high est","within range")))</f>
        <v/>
      </c>
    </row>
    <row r="279" customFormat="false" ht="15" hidden="false" customHeight="true" outlineLevel="0" collapsed="false">
      <c r="A279" s="4" t="n">
        <v>280</v>
      </c>
      <c r="B279" s="6" t="s">
        <v>16</v>
      </c>
      <c r="C279" s="5" t="s">
        <v>123</v>
      </c>
      <c r="D279" s="5" t="s">
        <v>123</v>
      </c>
      <c r="E279" s="4" t="s">
        <v>460</v>
      </c>
      <c r="F279" s="8" t="n">
        <v>50</v>
      </c>
      <c r="G279" s="8" t="n">
        <v>300</v>
      </c>
      <c r="H279" s="4" t="s">
        <v>233</v>
      </c>
      <c r="I279" s="16" t="s">
        <v>234</v>
      </c>
      <c r="J279" s="4"/>
      <c r="K279" s="4"/>
      <c r="L279" s="4"/>
      <c r="M279" s="4" t="str">
        <f aca="false">IF(L279="","",IF(L279&lt;F279,"UNDER low est",IF(L279&gt;G279,"OVER high est","within range")))</f>
        <v/>
      </c>
    </row>
    <row r="280" customFormat="false" ht="15" hidden="false" customHeight="true" outlineLevel="0" collapsed="false">
      <c r="A280" s="4" t="n">
        <v>281</v>
      </c>
      <c r="B280" s="6" t="s">
        <v>16</v>
      </c>
      <c r="C280" s="17" t="s">
        <v>241</v>
      </c>
      <c r="D280" s="17" t="s">
        <v>465</v>
      </c>
      <c r="E280" s="4" t="s">
        <v>239</v>
      </c>
      <c r="F280" s="8" t="n">
        <v>10</v>
      </c>
      <c r="G280" s="8" t="n">
        <v>50</v>
      </c>
      <c r="H280" s="4" t="s">
        <v>275</v>
      </c>
      <c r="I280" s="4"/>
      <c r="J280" s="4"/>
      <c r="K280" s="4"/>
      <c r="L280" s="4"/>
      <c r="M280" s="4" t="str">
        <f aca="false">IF(L280="","",IF(L280&lt;F280,"UNDER low est",IF(L280&gt;G280,"OVER high est","within range")))</f>
        <v/>
      </c>
    </row>
    <row r="281" customFormat="false" ht="15" hidden="false" customHeight="true" outlineLevel="0" collapsed="false">
      <c r="A281" s="4" t="n">
        <v>282</v>
      </c>
      <c r="B281" s="6" t="s">
        <v>16</v>
      </c>
      <c r="C281" s="5" t="s">
        <v>477</v>
      </c>
      <c r="D281" s="5" t="s">
        <v>477</v>
      </c>
      <c r="E281" s="4" t="s">
        <v>460</v>
      </c>
      <c r="F281" s="8" t="n">
        <v>10</v>
      </c>
      <c r="G281" s="8" t="n">
        <v>50</v>
      </c>
      <c r="H281" s="4" t="s">
        <v>243</v>
      </c>
      <c r="I281" s="4"/>
      <c r="J281" s="4"/>
      <c r="K281" s="4"/>
      <c r="L281" s="4"/>
      <c r="M281" s="4" t="str">
        <f aca="false">IF(L281="","",IF(L281&lt;F281,"UNDER low est",IF(L281&gt;G281,"OVER high est","within range")))</f>
        <v/>
      </c>
    </row>
    <row r="282" customFormat="false" ht="15" hidden="false" customHeight="true" outlineLevel="0" collapsed="false">
      <c r="A282" s="4" t="n">
        <v>283</v>
      </c>
      <c r="B282" s="6" t="s">
        <v>16</v>
      </c>
      <c r="C282" s="17" t="s">
        <v>241</v>
      </c>
      <c r="D282" s="17" t="s">
        <v>465</v>
      </c>
      <c r="E282" s="4" t="s">
        <v>239</v>
      </c>
      <c r="F282" s="8" t="n">
        <v>10</v>
      </c>
      <c r="G282" s="8" t="n">
        <v>50</v>
      </c>
      <c r="H282" s="4" t="s">
        <v>275</v>
      </c>
      <c r="I282" s="4"/>
      <c r="J282" s="4"/>
      <c r="K282" s="4"/>
      <c r="L282" s="4"/>
      <c r="M282" s="4" t="str">
        <f aca="false">IF(L282="","",IF(L282&lt;F282,"UNDER low est",IF(L282&gt;G282,"OVER high est","within range")))</f>
        <v/>
      </c>
    </row>
    <row r="283" customFormat="false" ht="15" hidden="false" customHeight="true" outlineLevel="0" collapsed="false">
      <c r="A283" s="4" t="n">
        <v>284</v>
      </c>
      <c r="B283" s="6" t="s">
        <v>16</v>
      </c>
      <c r="C283" s="5" t="s">
        <v>478</v>
      </c>
      <c r="D283" s="5" t="s">
        <v>478</v>
      </c>
      <c r="E283" s="4" t="s">
        <v>460</v>
      </c>
      <c r="F283" s="8" t="n">
        <v>20</v>
      </c>
      <c r="G283" s="8" t="n">
        <v>80</v>
      </c>
      <c r="H283" s="4" t="s">
        <v>233</v>
      </c>
      <c r="I283" s="4"/>
      <c r="J283" s="4"/>
      <c r="K283" s="4"/>
      <c r="L283" s="4"/>
      <c r="M283" s="4" t="str">
        <f aca="false">IF(L283="","",IF(L283&lt;F283,"UNDER low est",IF(L283&gt;G283,"OVER high est","within range")))</f>
        <v/>
      </c>
    </row>
    <row r="284" customFormat="false" ht="15" hidden="false" customHeight="true" outlineLevel="0" collapsed="false">
      <c r="A284" s="4" t="n">
        <v>285</v>
      </c>
      <c r="B284" s="6" t="s">
        <v>16</v>
      </c>
      <c r="C284" s="17" t="s">
        <v>241</v>
      </c>
      <c r="D284" s="17" t="s">
        <v>465</v>
      </c>
      <c r="E284" s="4" t="s">
        <v>239</v>
      </c>
      <c r="F284" s="8" t="n">
        <v>10</v>
      </c>
      <c r="G284" s="8" t="n">
        <v>50</v>
      </c>
      <c r="H284" s="4" t="s">
        <v>275</v>
      </c>
      <c r="I284" s="4"/>
      <c r="J284" s="4"/>
      <c r="K284" s="4"/>
      <c r="L284" s="4"/>
      <c r="M284" s="4" t="str">
        <f aca="false">IF(L284="","",IF(L284&lt;F284,"UNDER low est",IF(L284&gt;G284,"OVER high est","within range")))</f>
        <v/>
      </c>
    </row>
    <row r="285" customFormat="false" ht="15" hidden="false" customHeight="true" outlineLevel="0" collapsed="false">
      <c r="A285" s="4" t="n">
        <v>286</v>
      </c>
      <c r="B285" s="6" t="s">
        <v>16</v>
      </c>
      <c r="C285" s="5" t="s">
        <v>479</v>
      </c>
      <c r="D285" s="5" t="s">
        <v>479</v>
      </c>
      <c r="E285" s="4" t="s">
        <v>460</v>
      </c>
      <c r="F285" s="8" t="n">
        <v>10</v>
      </c>
      <c r="G285" s="8" t="n">
        <v>50</v>
      </c>
      <c r="H285" s="4" t="s">
        <v>243</v>
      </c>
      <c r="I285" s="4"/>
      <c r="J285" s="4"/>
      <c r="K285" s="4"/>
      <c r="L285" s="4"/>
      <c r="M285" s="4" t="str">
        <f aca="false">IF(L285="","",IF(L285&lt;F285,"UNDER low est",IF(L285&gt;G285,"OVER high est","within range")))</f>
        <v/>
      </c>
    </row>
    <row r="286" customFormat="false" ht="15" hidden="false" customHeight="true" outlineLevel="0" collapsed="false">
      <c r="A286" s="4" t="n">
        <v>287</v>
      </c>
      <c r="B286" s="6" t="s">
        <v>16</v>
      </c>
      <c r="C286" s="5" t="s">
        <v>480</v>
      </c>
      <c r="D286" s="5" t="s">
        <v>480</v>
      </c>
      <c r="E286" s="4" t="s">
        <v>460</v>
      </c>
      <c r="F286" s="8" t="n">
        <v>40</v>
      </c>
      <c r="G286" s="8" t="n">
        <v>150</v>
      </c>
      <c r="H286" s="4" t="s">
        <v>233</v>
      </c>
      <c r="I286" s="16" t="s">
        <v>234</v>
      </c>
      <c r="J286" s="4"/>
      <c r="K286" s="4"/>
      <c r="L286" s="4"/>
      <c r="M286" s="4" t="str">
        <f aca="false">IF(L286="","",IF(L286&lt;F286,"UNDER low est",IF(L286&gt;G286,"OVER high est","within range")))</f>
        <v/>
      </c>
    </row>
    <row r="287" customFormat="false" ht="15" hidden="false" customHeight="true" outlineLevel="0" collapsed="false">
      <c r="A287" s="4" t="n">
        <v>288</v>
      </c>
      <c r="B287" s="6" t="s">
        <v>16</v>
      </c>
      <c r="C287" s="5" t="s">
        <v>480</v>
      </c>
      <c r="D287" s="5" t="s">
        <v>480</v>
      </c>
      <c r="E287" s="4" t="s">
        <v>460</v>
      </c>
      <c r="F287" s="8" t="n">
        <v>40</v>
      </c>
      <c r="G287" s="8" t="n">
        <v>150</v>
      </c>
      <c r="H287" s="4" t="s">
        <v>233</v>
      </c>
      <c r="I287" s="4"/>
      <c r="J287" s="4"/>
      <c r="K287" s="4"/>
      <c r="L287" s="4"/>
      <c r="M287" s="4" t="str">
        <f aca="false">IF(L287="","",IF(L287&lt;F287,"UNDER low est",IF(L287&gt;G287,"OVER high est","within range")))</f>
        <v/>
      </c>
    </row>
    <row r="288" customFormat="false" ht="15" hidden="false" customHeight="true" outlineLevel="0" collapsed="false">
      <c r="A288" s="4" t="n">
        <v>289</v>
      </c>
      <c r="B288" s="6" t="s">
        <v>16</v>
      </c>
      <c r="C288" s="17" t="s">
        <v>241</v>
      </c>
      <c r="D288" s="17" t="s">
        <v>481</v>
      </c>
      <c r="E288" s="4" t="s">
        <v>460</v>
      </c>
      <c r="F288" s="8" t="n">
        <v>40</v>
      </c>
      <c r="G288" s="8" t="n">
        <v>150</v>
      </c>
      <c r="H288" s="4" t="s">
        <v>243</v>
      </c>
      <c r="I288" s="4"/>
      <c r="J288" s="4"/>
      <c r="K288" s="4"/>
      <c r="L288" s="4"/>
      <c r="M288" s="4" t="str">
        <f aca="false">IF(L288="","",IF(L288&lt;F288,"UNDER low est",IF(L288&gt;G288,"OVER high est","within range")))</f>
        <v/>
      </c>
    </row>
    <row r="289" customFormat="false" ht="15" hidden="false" customHeight="true" outlineLevel="0" collapsed="false">
      <c r="A289" s="4" t="n">
        <v>290</v>
      </c>
      <c r="B289" s="6" t="s">
        <v>16</v>
      </c>
      <c r="C289" s="5" t="s">
        <v>480</v>
      </c>
      <c r="D289" s="5" t="s">
        <v>480</v>
      </c>
      <c r="E289" s="4" t="s">
        <v>460</v>
      </c>
      <c r="F289" s="8" t="n">
        <v>40</v>
      </c>
      <c r="G289" s="8" t="n">
        <v>150</v>
      </c>
      <c r="H289" s="4" t="s">
        <v>233</v>
      </c>
      <c r="I289" s="4"/>
      <c r="J289" s="4"/>
      <c r="K289" s="4"/>
      <c r="L289" s="4"/>
      <c r="M289" s="4" t="str">
        <f aca="false">IF(L289="","",IF(L289&lt;F289,"UNDER low est",IF(L289&gt;G289,"OVER high est","within range")))</f>
        <v/>
      </c>
    </row>
    <row r="290" customFormat="false" ht="15" hidden="false" customHeight="true" outlineLevel="0" collapsed="false">
      <c r="A290" s="4" t="n">
        <v>291</v>
      </c>
      <c r="B290" s="6" t="s">
        <v>16</v>
      </c>
      <c r="C290" s="17" t="s">
        <v>241</v>
      </c>
      <c r="D290" s="17" t="s">
        <v>481</v>
      </c>
      <c r="E290" s="4" t="s">
        <v>460</v>
      </c>
      <c r="F290" s="8" t="n">
        <v>40</v>
      </c>
      <c r="G290" s="8" t="n">
        <v>150</v>
      </c>
      <c r="H290" s="4" t="s">
        <v>243</v>
      </c>
      <c r="I290" s="4"/>
      <c r="J290" s="4"/>
      <c r="K290" s="4"/>
      <c r="L290" s="4"/>
      <c r="M290" s="4" t="str">
        <f aca="false">IF(L290="","",IF(L290&lt;F290,"UNDER low est",IF(L290&gt;G290,"OVER high est","within range")))</f>
        <v/>
      </c>
    </row>
    <row r="291" customFormat="false" ht="15" hidden="false" customHeight="true" outlineLevel="0" collapsed="false">
      <c r="A291" s="4" t="n">
        <v>292</v>
      </c>
      <c r="B291" s="6" t="s">
        <v>16</v>
      </c>
      <c r="C291" s="5" t="s">
        <v>480</v>
      </c>
      <c r="D291" s="5" t="s">
        <v>480</v>
      </c>
      <c r="E291" s="4" t="s">
        <v>460</v>
      </c>
      <c r="F291" s="8" t="n">
        <v>40</v>
      </c>
      <c r="G291" s="8" t="n">
        <v>150</v>
      </c>
      <c r="H291" s="4" t="s">
        <v>233</v>
      </c>
      <c r="I291" s="4"/>
      <c r="J291" s="4"/>
      <c r="K291" s="4"/>
      <c r="L291" s="4"/>
      <c r="M291" s="4" t="str">
        <f aca="false">IF(L291="","",IF(L291&lt;F291,"UNDER low est",IF(L291&gt;G291,"OVER high est","within range")))</f>
        <v/>
      </c>
    </row>
    <row r="292" customFormat="false" ht="15" hidden="false" customHeight="true" outlineLevel="0" collapsed="false">
      <c r="A292" s="4" t="n">
        <v>293</v>
      </c>
      <c r="B292" s="6" t="s">
        <v>16</v>
      </c>
      <c r="C292" s="17" t="s">
        <v>241</v>
      </c>
      <c r="D292" s="17" t="s">
        <v>481</v>
      </c>
      <c r="E292" s="4" t="s">
        <v>460</v>
      </c>
      <c r="F292" s="8" t="n">
        <v>40</v>
      </c>
      <c r="G292" s="8" t="n">
        <v>150</v>
      </c>
      <c r="H292" s="4" t="s">
        <v>243</v>
      </c>
      <c r="I292" s="4"/>
      <c r="J292" s="4"/>
      <c r="K292" s="4"/>
      <c r="L292" s="4"/>
      <c r="M292" s="4" t="str">
        <f aca="false">IF(L292="","",IF(L292&lt;F292,"UNDER low est",IF(L292&gt;G292,"OVER high est","within range")))</f>
        <v/>
      </c>
    </row>
    <row r="293" customFormat="false" ht="15" hidden="false" customHeight="true" outlineLevel="0" collapsed="false">
      <c r="A293" s="4" t="n">
        <v>294</v>
      </c>
      <c r="B293" s="6" t="s">
        <v>16</v>
      </c>
      <c r="C293" s="5" t="s">
        <v>480</v>
      </c>
      <c r="D293" s="5" t="s">
        <v>480</v>
      </c>
      <c r="E293" s="4" t="s">
        <v>460</v>
      </c>
      <c r="F293" s="8" t="n">
        <v>40</v>
      </c>
      <c r="G293" s="8" t="n">
        <v>150</v>
      </c>
      <c r="H293" s="4" t="s">
        <v>233</v>
      </c>
      <c r="I293" s="4"/>
      <c r="J293" s="4"/>
      <c r="K293" s="4"/>
      <c r="L293" s="4"/>
      <c r="M293" s="4" t="str">
        <f aca="false">IF(L293="","",IF(L293&lt;F293,"UNDER low est",IF(L293&gt;G293,"OVER high est","within range")))</f>
        <v/>
      </c>
    </row>
    <row r="294" customFormat="false" ht="15" hidden="false" customHeight="true" outlineLevel="0" collapsed="false">
      <c r="A294" s="4" t="n">
        <v>295</v>
      </c>
      <c r="B294" s="6" t="s">
        <v>16</v>
      </c>
      <c r="C294" s="17" t="s">
        <v>241</v>
      </c>
      <c r="D294" s="17" t="s">
        <v>481</v>
      </c>
      <c r="E294" s="4" t="s">
        <v>460</v>
      </c>
      <c r="F294" s="8" t="n">
        <v>40</v>
      </c>
      <c r="G294" s="8" t="n">
        <v>150</v>
      </c>
      <c r="H294" s="4" t="s">
        <v>243</v>
      </c>
      <c r="I294" s="4"/>
      <c r="J294" s="4"/>
      <c r="K294" s="4"/>
      <c r="L294" s="4"/>
      <c r="M294" s="4" t="str">
        <f aca="false">IF(L294="","",IF(L294&lt;F294,"UNDER low est",IF(L294&gt;G294,"OVER high est","within range")))</f>
        <v/>
      </c>
    </row>
    <row r="295" customFormat="false" ht="15" hidden="false" customHeight="true" outlineLevel="0" collapsed="false">
      <c r="A295" s="4" t="n">
        <v>296</v>
      </c>
      <c r="B295" s="6" t="s">
        <v>16</v>
      </c>
      <c r="C295" s="5" t="s">
        <v>482</v>
      </c>
      <c r="D295" s="5" t="s">
        <v>482</v>
      </c>
      <c r="E295" s="4" t="s">
        <v>239</v>
      </c>
      <c r="F295" s="8" t="n">
        <v>10</v>
      </c>
      <c r="G295" s="8" t="n">
        <v>50</v>
      </c>
      <c r="H295" s="4" t="s">
        <v>243</v>
      </c>
      <c r="I295" s="4"/>
      <c r="J295" s="4"/>
      <c r="K295" s="4"/>
      <c r="L295" s="4"/>
      <c r="M295" s="4" t="str">
        <f aca="false">IF(L295="","",IF(L295&lt;F295,"UNDER low est",IF(L295&gt;G295,"OVER high est","within range")))</f>
        <v/>
      </c>
    </row>
    <row r="296" customFormat="false" ht="15" hidden="false" customHeight="true" outlineLevel="0" collapsed="false">
      <c r="A296" s="4" t="n">
        <v>297</v>
      </c>
      <c r="B296" s="6" t="s">
        <v>16</v>
      </c>
      <c r="C296" s="5" t="s">
        <v>483</v>
      </c>
      <c r="D296" s="5" t="s">
        <v>483</v>
      </c>
      <c r="E296" s="4" t="s">
        <v>59</v>
      </c>
      <c r="F296" s="8" t="n">
        <v>15</v>
      </c>
      <c r="G296" s="8" t="n">
        <v>80</v>
      </c>
      <c r="H296" s="4" t="s">
        <v>233</v>
      </c>
      <c r="I296" s="4"/>
      <c r="J296" s="4"/>
      <c r="K296" s="4"/>
      <c r="L296" s="4"/>
      <c r="M296" s="4" t="str">
        <f aca="false">IF(L296="","",IF(L296&lt;F296,"UNDER low est",IF(L296&gt;G296,"OVER high est","within range")))</f>
        <v/>
      </c>
    </row>
    <row r="297" customFormat="false" ht="15" hidden="false" customHeight="true" outlineLevel="0" collapsed="false">
      <c r="A297" s="4" t="n">
        <v>298</v>
      </c>
      <c r="B297" s="6" t="s">
        <v>16</v>
      </c>
      <c r="C297" s="5" t="s">
        <v>484</v>
      </c>
      <c r="D297" s="5" t="s">
        <v>484</v>
      </c>
      <c r="E297" s="4" t="s">
        <v>239</v>
      </c>
      <c r="F297" s="8" t="n">
        <v>10</v>
      </c>
      <c r="G297" s="8" t="n">
        <v>50</v>
      </c>
      <c r="H297" s="4" t="s">
        <v>243</v>
      </c>
      <c r="I297" s="4"/>
      <c r="J297" s="4"/>
      <c r="K297" s="4"/>
      <c r="L297" s="4"/>
      <c r="M297" s="4" t="str">
        <f aca="false">IF(L297="","",IF(L297&lt;F297,"UNDER low est",IF(L297&gt;G297,"OVER high est","within range")))</f>
        <v/>
      </c>
    </row>
    <row r="298" customFormat="false" ht="15" hidden="false" customHeight="true" outlineLevel="0" collapsed="false">
      <c r="A298" s="4" t="n">
        <v>299</v>
      </c>
      <c r="B298" s="6" t="s">
        <v>16</v>
      </c>
      <c r="C298" s="5" t="s">
        <v>485</v>
      </c>
      <c r="D298" s="5" t="s">
        <v>485</v>
      </c>
      <c r="E298" s="4" t="s">
        <v>472</v>
      </c>
      <c r="F298" s="8" t="n">
        <v>15</v>
      </c>
      <c r="G298" s="8" t="n">
        <v>80</v>
      </c>
      <c r="H298" s="4" t="s">
        <v>233</v>
      </c>
      <c r="I298" s="4"/>
      <c r="J298" s="4"/>
      <c r="K298" s="4"/>
      <c r="L298" s="4"/>
      <c r="M298" s="4" t="str">
        <f aca="false">IF(L298="","",IF(L298&lt;F298,"UNDER low est",IF(L298&gt;G298,"OVER high est","within range")))</f>
        <v/>
      </c>
    </row>
    <row r="299" customFormat="false" ht="15" hidden="false" customHeight="true" outlineLevel="0" collapsed="false">
      <c r="A299" s="4" t="n">
        <v>300</v>
      </c>
      <c r="B299" s="6" t="s">
        <v>16</v>
      </c>
      <c r="C299" s="5" t="s">
        <v>486</v>
      </c>
      <c r="D299" s="5" t="s">
        <v>486</v>
      </c>
      <c r="E299" s="4" t="s">
        <v>472</v>
      </c>
      <c r="F299" s="8" t="n">
        <v>15</v>
      </c>
      <c r="G299" s="8" t="n">
        <v>80</v>
      </c>
      <c r="H299" s="4" t="s">
        <v>233</v>
      </c>
      <c r="I299" s="4"/>
      <c r="J299" s="4"/>
      <c r="K299" s="4"/>
      <c r="L299" s="4"/>
      <c r="M299" s="4" t="str">
        <f aca="false">IF(L299="","",IF(L299&lt;F299,"UNDER low est",IF(L299&gt;G299,"OVER high est","within range")))</f>
        <v/>
      </c>
    </row>
    <row r="300" customFormat="false" ht="15" hidden="false" customHeight="true" outlineLevel="0" collapsed="false">
      <c r="A300" s="4" t="n">
        <v>301</v>
      </c>
      <c r="B300" s="6" t="s">
        <v>16</v>
      </c>
      <c r="C300" s="5" t="s">
        <v>487</v>
      </c>
      <c r="D300" s="5" t="s">
        <v>487</v>
      </c>
      <c r="E300" s="4" t="s">
        <v>239</v>
      </c>
      <c r="F300" s="8" t="n">
        <v>20</v>
      </c>
      <c r="G300" s="8" t="n">
        <v>80</v>
      </c>
      <c r="H300" s="4" t="s">
        <v>233</v>
      </c>
      <c r="I300" s="4"/>
      <c r="J300" s="4"/>
      <c r="K300" s="4"/>
      <c r="L300" s="4"/>
      <c r="M300" s="4" t="str">
        <f aca="false">IF(L300="","",IF(L300&lt;F300,"UNDER low est",IF(L300&gt;G300,"OVER high est","within range")))</f>
        <v/>
      </c>
    </row>
    <row r="301" customFormat="false" ht="15" hidden="false" customHeight="true" outlineLevel="0" collapsed="false">
      <c r="A301" s="4" t="n">
        <v>302</v>
      </c>
      <c r="B301" s="6" t="s">
        <v>16</v>
      </c>
      <c r="C301" s="5" t="s">
        <v>488</v>
      </c>
      <c r="D301" s="5" t="s">
        <v>488</v>
      </c>
      <c r="E301" s="4" t="s">
        <v>239</v>
      </c>
      <c r="F301" s="8" t="n">
        <v>50</v>
      </c>
      <c r="G301" s="8" t="n">
        <v>200</v>
      </c>
      <c r="H301" s="4" t="s">
        <v>233</v>
      </c>
      <c r="I301" s="4"/>
      <c r="J301" s="4"/>
      <c r="K301" s="4"/>
      <c r="L301" s="4"/>
      <c r="M301" s="4" t="str">
        <f aca="false">IF(L301="","",IF(L301&lt;F301,"UNDER low est",IF(L301&gt;G301,"OVER high est","within range")))</f>
        <v/>
      </c>
    </row>
    <row r="302" customFormat="false" ht="15" hidden="false" customHeight="true" outlineLevel="0" collapsed="false">
      <c r="A302" s="4" t="n">
        <v>303</v>
      </c>
      <c r="B302" s="6" t="s">
        <v>16</v>
      </c>
      <c r="C302" s="5" t="s">
        <v>489</v>
      </c>
      <c r="D302" s="5" t="s">
        <v>489</v>
      </c>
      <c r="E302" s="4" t="s">
        <v>239</v>
      </c>
      <c r="F302" s="8" t="n">
        <v>10</v>
      </c>
      <c r="G302" s="8" t="n">
        <v>50</v>
      </c>
      <c r="H302" s="4" t="s">
        <v>243</v>
      </c>
      <c r="I302" s="4"/>
      <c r="J302" s="4"/>
      <c r="K302" s="4"/>
      <c r="L302" s="4"/>
      <c r="M302" s="4" t="str">
        <f aca="false">IF(L302="","",IF(L302&lt;F302,"UNDER low est",IF(L302&gt;G302,"OVER high est","within range")))</f>
        <v/>
      </c>
    </row>
    <row r="303" customFormat="false" ht="15" hidden="false" customHeight="true" outlineLevel="0" collapsed="false">
      <c r="A303" s="4" t="n">
        <v>304</v>
      </c>
      <c r="B303" s="6" t="s">
        <v>16</v>
      </c>
      <c r="C303" s="5" t="s">
        <v>490</v>
      </c>
      <c r="D303" s="5" t="s">
        <v>490</v>
      </c>
      <c r="E303" s="4" t="s">
        <v>274</v>
      </c>
      <c r="F303" s="8" t="n">
        <v>10</v>
      </c>
      <c r="G303" s="8" t="n">
        <v>50</v>
      </c>
      <c r="H303" s="4" t="s">
        <v>243</v>
      </c>
      <c r="I303" s="4"/>
      <c r="J303" s="4"/>
      <c r="K303" s="4"/>
      <c r="L303" s="4"/>
      <c r="M303" s="4" t="str">
        <f aca="false">IF(L303="","",IF(L303&lt;F303,"UNDER low est",IF(L303&gt;G303,"OVER high est","within range")))</f>
        <v/>
      </c>
    </row>
    <row r="304" customFormat="false" ht="15" hidden="false" customHeight="true" outlineLevel="0" collapsed="false">
      <c r="A304" s="4" t="n">
        <v>305</v>
      </c>
      <c r="B304" s="6" t="s">
        <v>16</v>
      </c>
      <c r="C304" s="5" t="s">
        <v>491</v>
      </c>
      <c r="D304" s="5" t="s">
        <v>491</v>
      </c>
      <c r="E304" s="4" t="s">
        <v>271</v>
      </c>
      <c r="F304" s="8" t="n">
        <v>15</v>
      </c>
      <c r="G304" s="8" t="n">
        <v>60</v>
      </c>
      <c r="H304" s="4" t="s">
        <v>233</v>
      </c>
      <c r="I304" s="4"/>
      <c r="J304" s="4"/>
      <c r="K304" s="4"/>
      <c r="L304" s="4"/>
      <c r="M304" s="4" t="str">
        <f aca="false">IF(L304="","",IF(L304&lt;F304,"UNDER low est",IF(L304&gt;G304,"OVER high est","within range")))</f>
        <v/>
      </c>
    </row>
    <row r="305" customFormat="false" ht="15" hidden="false" customHeight="true" outlineLevel="0" collapsed="false">
      <c r="A305" s="4" t="n">
        <v>306</v>
      </c>
      <c r="B305" s="6" t="s">
        <v>16</v>
      </c>
      <c r="C305" s="17" t="s">
        <v>241</v>
      </c>
      <c r="D305" s="17" t="s">
        <v>492</v>
      </c>
      <c r="E305" s="4" t="s">
        <v>237</v>
      </c>
      <c r="F305" s="8" t="n">
        <v>15</v>
      </c>
      <c r="G305" s="8" t="n">
        <v>60</v>
      </c>
      <c r="H305" s="4" t="s">
        <v>243</v>
      </c>
      <c r="I305" s="4"/>
      <c r="J305" s="4"/>
      <c r="K305" s="4"/>
      <c r="L305" s="4"/>
      <c r="M305" s="4" t="str">
        <f aca="false">IF(L305="","",IF(L305&lt;F305,"UNDER low est",IF(L305&gt;G305,"OVER high est","within range")))</f>
        <v/>
      </c>
    </row>
    <row r="306" customFormat="false" ht="15" hidden="false" customHeight="true" outlineLevel="0" collapsed="false">
      <c r="A306" s="4" t="n">
        <v>307</v>
      </c>
      <c r="B306" s="6" t="s">
        <v>16</v>
      </c>
      <c r="C306" s="17" t="s">
        <v>241</v>
      </c>
      <c r="D306" s="17" t="s">
        <v>493</v>
      </c>
      <c r="E306" s="4" t="s">
        <v>239</v>
      </c>
      <c r="F306" s="8" t="n">
        <v>10</v>
      </c>
      <c r="G306" s="8" t="n">
        <v>50</v>
      </c>
      <c r="H306" s="4" t="s">
        <v>275</v>
      </c>
      <c r="I306" s="4"/>
      <c r="J306" s="4"/>
      <c r="K306" s="4"/>
      <c r="L306" s="4"/>
      <c r="M306" s="4" t="str">
        <f aca="false">IF(L306="","",IF(L306&lt;F306,"UNDER low est",IF(L306&gt;G306,"OVER high est","within range")))</f>
        <v/>
      </c>
    </row>
    <row r="307" customFormat="false" ht="15" hidden="false" customHeight="true" outlineLevel="0" collapsed="false">
      <c r="A307" s="4" t="n">
        <v>308</v>
      </c>
      <c r="B307" s="6" t="s">
        <v>16</v>
      </c>
      <c r="C307" s="5" t="s">
        <v>494</v>
      </c>
      <c r="D307" s="5" t="s">
        <v>494</v>
      </c>
      <c r="E307" s="4" t="s">
        <v>299</v>
      </c>
      <c r="F307" s="8" t="n">
        <v>10</v>
      </c>
      <c r="G307" s="8" t="n">
        <v>50</v>
      </c>
      <c r="H307" s="4" t="s">
        <v>243</v>
      </c>
      <c r="I307" s="4"/>
      <c r="J307" s="4"/>
      <c r="K307" s="4"/>
      <c r="L307" s="4"/>
      <c r="M307" s="4" t="str">
        <f aca="false">IF(L307="","",IF(L307&lt;F307,"UNDER low est",IF(L307&gt;G307,"OVER high est","within range")))</f>
        <v/>
      </c>
    </row>
    <row r="308" customFormat="false" ht="15" hidden="false" customHeight="true" outlineLevel="0" collapsed="false">
      <c r="A308" s="4" t="n">
        <v>309</v>
      </c>
      <c r="B308" s="6" t="s">
        <v>16</v>
      </c>
      <c r="C308" s="5" t="s">
        <v>495</v>
      </c>
      <c r="D308" s="5" t="s">
        <v>495</v>
      </c>
      <c r="E308" s="4" t="s">
        <v>237</v>
      </c>
      <c r="F308" s="8" t="n">
        <v>15</v>
      </c>
      <c r="G308" s="8" t="n">
        <v>60</v>
      </c>
      <c r="H308" s="4" t="s">
        <v>233</v>
      </c>
      <c r="I308" s="4"/>
      <c r="J308" s="4"/>
      <c r="K308" s="4"/>
      <c r="L308" s="4"/>
      <c r="M308" s="4" t="str">
        <f aca="false">IF(L308="","",IF(L308&lt;F308,"UNDER low est",IF(L308&gt;G308,"OVER high est","within range")))</f>
        <v/>
      </c>
    </row>
    <row r="309" customFormat="false" ht="15" hidden="false" customHeight="true" outlineLevel="0" collapsed="false">
      <c r="A309" s="4" t="n">
        <v>310</v>
      </c>
      <c r="B309" s="6" t="s">
        <v>16</v>
      </c>
      <c r="C309" s="5" t="s">
        <v>496</v>
      </c>
      <c r="D309" s="5" t="s">
        <v>496</v>
      </c>
      <c r="E309" s="4" t="s">
        <v>274</v>
      </c>
      <c r="F309" s="8" t="n">
        <v>10</v>
      </c>
      <c r="G309" s="8" t="n">
        <v>50</v>
      </c>
      <c r="H309" s="4" t="s">
        <v>243</v>
      </c>
      <c r="I309" s="4"/>
      <c r="J309" s="4"/>
      <c r="K309" s="4"/>
      <c r="L309" s="4"/>
      <c r="M309" s="4" t="str">
        <f aca="false">IF(L309="","",IF(L309&lt;F309,"UNDER low est",IF(L309&gt;G309,"OVER high est","within range")))</f>
        <v/>
      </c>
    </row>
    <row r="310" customFormat="false" ht="15" hidden="false" customHeight="true" outlineLevel="0" collapsed="false">
      <c r="A310" s="4" t="n">
        <v>311</v>
      </c>
      <c r="B310" s="6" t="s">
        <v>16</v>
      </c>
      <c r="C310" s="5" t="s">
        <v>497</v>
      </c>
      <c r="D310" s="5" t="s">
        <v>497</v>
      </c>
      <c r="E310" s="4" t="s">
        <v>239</v>
      </c>
      <c r="F310" s="8" t="n">
        <v>20</v>
      </c>
      <c r="G310" s="8" t="n">
        <v>80</v>
      </c>
      <c r="H310" s="4" t="s">
        <v>233</v>
      </c>
      <c r="I310" s="4"/>
      <c r="J310" s="4"/>
      <c r="K310" s="4"/>
      <c r="L310" s="4"/>
      <c r="M310" s="4" t="str">
        <f aca="false">IF(L310="","",IF(L310&lt;F310,"UNDER low est",IF(L310&gt;G310,"OVER high est","within range")))</f>
        <v/>
      </c>
    </row>
    <row r="311" customFormat="false" ht="15" hidden="false" customHeight="true" outlineLevel="0" collapsed="false">
      <c r="A311" s="4" t="n">
        <v>312</v>
      </c>
      <c r="B311" s="6" t="s">
        <v>16</v>
      </c>
      <c r="C311" s="5" t="s">
        <v>498</v>
      </c>
      <c r="D311" s="5" t="s">
        <v>498</v>
      </c>
      <c r="E311" s="4" t="s">
        <v>237</v>
      </c>
      <c r="F311" s="8" t="n">
        <v>15</v>
      </c>
      <c r="G311" s="8" t="n">
        <v>60</v>
      </c>
      <c r="H311" s="4" t="s">
        <v>233</v>
      </c>
      <c r="I311" s="4"/>
      <c r="J311" s="4"/>
      <c r="K311" s="4"/>
      <c r="L311" s="4"/>
      <c r="M311" s="4" t="str">
        <f aca="false">IF(L311="","",IF(L311&lt;F311,"UNDER low est",IF(L311&gt;G311,"OVER high est","within range")))</f>
        <v/>
      </c>
    </row>
    <row r="312" customFormat="false" ht="15" hidden="false" customHeight="true" outlineLevel="0" collapsed="false">
      <c r="A312" s="4" t="n">
        <v>313</v>
      </c>
      <c r="B312" s="6" t="s">
        <v>16</v>
      </c>
      <c r="C312" s="5" t="s">
        <v>499</v>
      </c>
      <c r="D312" s="5" t="s">
        <v>499</v>
      </c>
      <c r="E312" s="4" t="s">
        <v>239</v>
      </c>
      <c r="F312" s="8" t="n">
        <v>10</v>
      </c>
      <c r="G312" s="8" t="n">
        <v>50</v>
      </c>
      <c r="H312" s="4" t="s">
        <v>243</v>
      </c>
      <c r="I312" s="4"/>
      <c r="J312" s="4"/>
      <c r="K312" s="4"/>
      <c r="L312" s="4"/>
      <c r="M312" s="4" t="str">
        <f aca="false">IF(L312="","",IF(L312&lt;F312,"UNDER low est",IF(L312&gt;G312,"OVER high est","within range")))</f>
        <v/>
      </c>
    </row>
    <row r="313" customFormat="false" ht="15" hidden="false" customHeight="true" outlineLevel="0" collapsed="false">
      <c r="A313" s="4" t="n">
        <v>314</v>
      </c>
      <c r="B313" s="6" t="s">
        <v>16</v>
      </c>
      <c r="C313" s="5" t="s">
        <v>500</v>
      </c>
      <c r="D313" s="5" t="s">
        <v>500</v>
      </c>
      <c r="E313" s="4" t="s">
        <v>281</v>
      </c>
      <c r="F313" s="8" t="n">
        <v>10</v>
      </c>
      <c r="G313" s="8" t="n">
        <v>40</v>
      </c>
      <c r="H313" s="4" t="s">
        <v>233</v>
      </c>
      <c r="I313" s="4"/>
      <c r="J313" s="4"/>
      <c r="K313" s="4"/>
      <c r="L313" s="4"/>
      <c r="M313" s="4" t="str">
        <f aca="false">IF(L313="","",IF(L313&lt;F313,"UNDER low est",IF(L313&gt;G313,"OVER high est","within range")))</f>
        <v/>
      </c>
    </row>
    <row r="314" customFormat="false" ht="15" hidden="false" customHeight="true" outlineLevel="0" collapsed="false">
      <c r="A314" s="4" t="n">
        <v>315</v>
      </c>
      <c r="B314" s="6" t="s">
        <v>16</v>
      </c>
      <c r="C314" s="17" t="s">
        <v>241</v>
      </c>
      <c r="D314" s="17" t="s">
        <v>501</v>
      </c>
      <c r="E314" s="4" t="s">
        <v>239</v>
      </c>
      <c r="F314" s="8" t="n">
        <v>10</v>
      </c>
      <c r="G314" s="8" t="n">
        <v>50</v>
      </c>
      <c r="H314" s="4" t="s">
        <v>275</v>
      </c>
      <c r="I314" s="4"/>
      <c r="J314" s="4"/>
      <c r="K314" s="4"/>
      <c r="L314" s="4"/>
      <c r="M314" s="4" t="str">
        <f aca="false">IF(L314="","",IF(L314&lt;F314,"UNDER low est",IF(L314&gt;G314,"OVER high est","within range")))</f>
        <v/>
      </c>
    </row>
    <row r="315" customFormat="false" ht="15" hidden="false" customHeight="true" outlineLevel="0" collapsed="false">
      <c r="A315" s="4" t="n">
        <v>316</v>
      </c>
      <c r="B315" s="6" t="s">
        <v>16</v>
      </c>
      <c r="C315" s="5" t="s">
        <v>502</v>
      </c>
      <c r="D315" s="5" t="s">
        <v>502</v>
      </c>
      <c r="E315" s="4" t="s">
        <v>239</v>
      </c>
      <c r="F315" s="8" t="n">
        <v>10</v>
      </c>
      <c r="G315" s="8" t="n">
        <v>40</v>
      </c>
      <c r="H315" s="4" t="s">
        <v>233</v>
      </c>
      <c r="I315" s="4"/>
      <c r="J315" s="4"/>
      <c r="K315" s="4"/>
      <c r="L315" s="4"/>
      <c r="M315" s="4" t="str">
        <f aca="false">IF(L315="","",IF(L315&lt;F315,"UNDER low est",IF(L315&gt;G315,"OVER high est","within range")))</f>
        <v/>
      </c>
    </row>
    <row r="316" customFormat="false" ht="15" hidden="false" customHeight="true" outlineLevel="0" collapsed="false">
      <c r="A316" s="4" t="n">
        <v>317</v>
      </c>
      <c r="B316" s="6" t="s">
        <v>16</v>
      </c>
      <c r="C316" s="5" t="s">
        <v>503</v>
      </c>
      <c r="D316" s="5" t="s">
        <v>503</v>
      </c>
      <c r="E316" s="4" t="s">
        <v>265</v>
      </c>
      <c r="F316" s="8" t="n">
        <v>10</v>
      </c>
      <c r="G316" s="8" t="n">
        <v>50</v>
      </c>
      <c r="H316" s="4" t="s">
        <v>243</v>
      </c>
      <c r="I316" s="4"/>
      <c r="J316" s="4"/>
      <c r="K316" s="4"/>
      <c r="L316" s="4"/>
      <c r="M316" s="4" t="str">
        <f aca="false">IF(L316="","",IF(L316&lt;F316,"UNDER low est",IF(L316&gt;G316,"OVER high est","within range")))</f>
        <v/>
      </c>
    </row>
    <row r="317" customFormat="false" ht="15" hidden="false" customHeight="true" outlineLevel="0" collapsed="false">
      <c r="A317" s="4" t="n">
        <v>318</v>
      </c>
      <c r="B317" s="6" t="s">
        <v>16</v>
      </c>
      <c r="C317" s="5" t="s">
        <v>504</v>
      </c>
      <c r="D317" s="5" t="s">
        <v>504</v>
      </c>
      <c r="E317" s="4" t="s">
        <v>239</v>
      </c>
      <c r="F317" s="8" t="n">
        <v>25</v>
      </c>
      <c r="G317" s="8" t="n">
        <v>100</v>
      </c>
      <c r="H317" s="4" t="s">
        <v>233</v>
      </c>
      <c r="I317" s="4"/>
      <c r="J317" s="4"/>
      <c r="K317" s="4"/>
      <c r="L317" s="4"/>
      <c r="M317" s="4" t="str">
        <f aca="false">IF(L317="","",IF(L317&lt;F317,"UNDER low est",IF(L317&gt;G317,"OVER high est","within range")))</f>
        <v/>
      </c>
    </row>
    <row r="318" customFormat="false" ht="15" hidden="false" customHeight="true" outlineLevel="0" collapsed="false">
      <c r="A318" s="4" t="n">
        <v>319</v>
      </c>
      <c r="B318" s="6" t="s">
        <v>16</v>
      </c>
      <c r="C318" s="17" t="s">
        <v>241</v>
      </c>
      <c r="D318" s="17" t="s">
        <v>505</v>
      </c>
      <c r="E318" s="4" t="s">
        <v>299</v>
      </c>
      <c r="F318" s="8" t="n">
        <v>10</v>
      </c>
      <c r="G318" s="8" t="n">
        <v>40</v>
      </c>
      <c r="H318" s="4" t="s">
        <v>243</v>
      </c>
      <c r="I318" s="4"/>
      <c r="J318" s="4"/>
      <c r="K318" s="4"/>
      <c r="L318" s="4"/>
      <c r="M318" s="4" t="str">
        <f aca="false">IF(L318="","",IF(L318&lt;F318,"UNDER low est",IF(L318&gt;G318,"OVER high est","within range")))</f>
        <v/>
      </c>
    </row>
    <row r="319" customFormat="false" ht="15" hidden="false" customHeight="true" outlineLevel="0" collapsed="false">
      <c r="A319" s="4" t="n">
        <v>320</v>
      </c>
      <c r="B319" s="6" t="s">
        <v>16</v>
      </c>
      <c r="C319" s="5" t="s">
        <v>506</v>
      </c>
      <c r="D319" s="5" t="s">
        <v>506</v>
      </c>
      <c r="E319" s="4" t="s">
        <v>237</v>
      </c>
      <c r="F319" s="8" t="n">
        <v>10</v>
      </c>
      <c r="G319" s="8" t="n">
        <v>50</v>
      </c>
      <c r="H319" s="4" t="s">
        <v>243</v>
      </c>
      <c r="I319" s="4"/>
      <c r="J319" s="4"/>
      <c r="K319" s="4"/>
      <c r="L319" s="4"/>
      <c r="M319" s="4" t="str">
        <f aca="false">IF(L319="","",IF(L319&lt;F319,"UNDER low est",IF(L319&gt;G319,"OVER high est","within range")))</f>
        <v/>
      </c>
    </row>
    <row r="320" customFormat="false" ht="15" hidden="false" customHeight="true" outlineLevel="0" collapsed="false">
      <c r="A320" s="4" t="n">
        <v>321</v>
      </c>
      <c r="B320" s="6" t="s">
        <v>16</v>
      </c>
      <c r="C320" s="5" t="s">
        <v>507</v>
      </c>
      <c r="D320" s="5" t="s">
        <v>507</v>
      </c>
      <c r="E320" s="4" t="s">
        <v>239</v>
      </c>
      <c r="F320" s="8" t="n">
        <v>20</v>
      </c>
      <c r="G320" s="8" t="n">
        <v>80</v>
      </c>
      <c r="H320" s="4" t="s">
        <v>233</v>
      </c>
      <c r="I320" s="4"/>
      <c r="J320" s="4"/>
      <c r="K320" s="4"/>
      <c r="L320" s="4"/>
      <c r="M320" s="4" t="str">
        <f aca="false">IF(L320="","",IF(L320&lt;F320,"UNDER low est",IF(L320&gt;G320,"OVER high est","within range")))</f>
        <v/>
      </c>
    </row>
    <row r="321" customFormat="false" ht="15" hidden="false" customHeight="true" outlineLevel="0" collapsed="false">
      <c r="A321" s="4" t="n">
        <v>322</v>
      </c>
      <c r="B321" s="6" t="s">
        <v>16</v>
      </c>
      <c r="C321" s="5" t="s">
        <v>508</v>
      </c>
      <c r="D321" s="5" t="s">
        <v>508</v>
      </c>
      <c r="E321" s="4" t="s">
        <v>239</v>
      </c>
      <c r="F321" s="8" t="n">
        <v>10</v>
      </c>
      <c r="G321" s="8" t="n">
        <v>50</v>
      </c>
      <c r="H321" s="4" t="s">
        <v>243</v>
      </c>
      <c r="I321" s="4"/>
      <c r="J321" s="4"/>
      <c r="K321" s="4"/>
      <c r="L321" s="4"/>
      <c r="M321" s="4" t="str">
        <f aca="false">IF(L321="","",IF(L321&lt;F321,"UNDER low est",IF(L321&gt;G321,"OVER high est","within range")))</f>
        <v/>
      </c>
    </row>
    <row r="322" customFormat="false" ht="15" hidden="false" customHeight="true" outlineLevel="0" collapsed="false">
      <c r="A322" s="4" t="n">
        <v>323</v>
      </c>
      <c r="B322" s="6" t="s">
        <v>16</v>
      </c>
      <c r="C322" s="17" t="s">
        <v>241</v>
      </c>
      <c r="D322" s="17" t="s">
        <v>509</v>
      </c>
      <c r="E322" s="4" t="s">
        <v>239</v>
      </c>
      <c r="F322" s="8" t="n">
        <v>10</v>
      </c>
      <c r="G322" s="8" t="n">
        <v>50</v>
      </c>
      <c r="H322" s="4" t="s">
        <v>275</v>
      </c>
      <c r="I322" s="4"/>
      <c r="J322" s="4"/>
      <c r="K322" s="4"/>
      <c r="L322" s="4"/>
      <c r="M322" s="4" t="str">
        <f aca="false">IF(L322="","",IF(L322&lt;F322,"UNDER low est",IF(L322&gt;G322,"OVER high est","within range")))</f>
        <v/>
      </c>
    </row>
    <row r="323" customFormat="false" ht="15" hidden="false" customHeight="true" outlineLevel="0" collapsed="false">
      <c r="A323" s="4" t="n">
        <v>324</v>
      </c>
      <c r="B323" s="6" t="s">
        <v>16</v>
      </c>
      <c r="C323" s="5" t="s">
        <v>510</v>
      </c>
      <c r="D323" s="5" t="s">
        <v>510</v>
      </c>
      <c r="E323" s="4" t="s">
        <v>237</v>
      </c>
      <c r="F323" s="8" t="n">
        <v>25</v>
      </c>
      <c r="G323" s="8" t="n">
        <v>100</v>
      </c>
      <c r="H323" s="4" t="s">
        <v>233</v>
      </c>
      <c r="I323" s="4"/>
      <c r="J323" s="4"/>
      <c r="K323" s="4"/>
      <c r="L323" s="4"/>
      <c r="M323" s="4" t="str">
        <f aca="false">IF(L323="","",IF(L323&lt;F323,"UNDER low est",IF(L323&gt;G323,"OVER high est","within range")))</f>
        <v/>
      </c>
    </row>
    <row r="324" customFormat="false" ht="15" hidden="false" customHeight="true" outlineLevel="0" collapsed="false">
      <c r="A324" s="4" t="n">
        <v>325</v>
      </c>
      <c r="B324" s="6" t="s">
        <v>16</v>
      </c>
      <c r="C324" s="17" t="s">
        <v>241</v>
      </c>
      <c r="D324" s="17" t="s">
        <v>511</v>
      </c>
      <c r="E324" s="4" t="s">
        <v>299</v>
      </c>
      <c r="F324" s="8" t="n">
        <v>10</v>
      </c>
      <c r="G324" s="8" t="n">
        <v>50</v>
      </c>
      <c r="H324" s="4" t="s">
        <v>275</v>
      </c>
      <c r="I324" s="4"/>
      <c r="J324" s="4"/>
      <c r="K324" s="4"/>
      <c r="L324" s="4"/>
      <c r="M324" s="4" t="str">
        <f aca="false">IF(L324="","",IF(L324&lt;F324,"UNDER low est",IF(L324&gt;G324,"OVER high est","within range")))</f>
        <v/>
      </c>
    </row>
    <row r="325" customFormat="false" ht="15" hidden="false" customHeight="true" outlineLevel="0" collapsed="false">
      <c r="A325" s="4" t="n">
        <v>326</v>
      </c>
      <c r="B325" s="6" t="s">
        <v>16</v>
      </c>
      <c r="C325" s="5" t="s">
        <v>512</v>
      </c>
      <c r="D325" s="5" t="s">
        <v>512</v>
      </c>
      <c r="E325" s="4" t="s">
        <v>265</v>
      </c>
      <c r="F325" s="8" t="n">
        <v>10</v>
      </c>
      <c r="G325" s="8" t="n">
        <v>50</v>
      </c>
      <c r="H325" s="4" t="s">
        <v>243</v>
      </c>
      <c r="I325" s="4"/>
      <c r="J325" s="4"/>
      <c r="K325" s="4"/>
      <c r="L325" s="4"/>
      <c r="M325" s="4" t="str">
        <f aca="false">IF(L325="","",IF(L325&lt;F325,"UNDER low est",IF(L325&gt;G325,"OVER high est","within range")))</f>
        <v/>
      </c>
    </row>
    <row r="326" customFormat="false" ht="15" hidden="false" customHeight="true" outlineLevel="0" collapsed="false">
      <c r="A326" s="4" t="n">
        <v>327</v>
      </c>
      <c r="B326" s="6" t="s">
        <v>16</v>
      </c>
      <c r="C326" s="17" t="s">
        <v>241</v>
      </c>
      <c r="D326" s="17" t="s">
        <v>513</v>
      </c>
      <c r="E326" s="4" t="s">
        <v>239</v>
      </c>
      <c r="F326" s="8" t="n">
        <v>10</v>
      </c>
      <c r="G326" s="8" t="n">
        <v>50</v>
      </c>
      <c r="H326" s="4" t="s">
        <v>275</v>
      </c>
      <c r="I326" s="4"/>
      <c r="J326" s="4"/>
      <c r="K326" s="4"/>
      <c r="L326" s="4"/>
      <c r="M326" s="4" t="str">
        <f aca="false">IF(L326="","",IF(L326&lt;F326,"UNDER low est",IF(L326&gt;G326,"OVER high est","within range")))</f>
        <v/>
      </c>
    </row>
    <row r="327" customFormat="false" ht="15" hidden="false" customHeight="true" outlineLevel="0" collapsed="false">
      <c r="A327" s="4" t="n">
        <v>328</v>
      </c>
      <c r="B327" s="6" t="s">
        <v>16</v>
      </c>
      <c r="C327" s="17" t="s">
        <v>241</v>
      </c>
      <c r="D327" s="17" t="s">
        <v>514</v>
      </c>
      <c r="E327" s="4" t="s">
        <v>271</v>
      </c>
      <c r="F327" s="8" t="n">
        <v>40</v>
      </c>
      <c r="G327" s="8" t="n">
        <v>120</v>
      </c>
      <c r="H327" s="4" t="s">
        <v>243</v>
      </c>
      <c r="I327" s="4"/>
      <c r="J327" s="4"/>
      <c r="K327" s="4"/>
      <c r="L327" s="4"/>
      <c r="M327" s="4" t="str">
        <f aca="false">IF(L327="","",IF(L327&lt;F327,"UNDER low est",IF(L327&gt;G327,"OVER high est","within range")))</f>
        <v/>
      </c>
    </row>
    <row r="328" customFormat="false" ht="15" hidden="false" customHeight="true" outlineLevel="0" collapsed="false">
      <c r="A328" s="4" t="n">
        <v>329</v>
      </c>
      <c r="B328" s="6" t="s">
        <v>16</v>
      </c>
      <c r="C328" s="17" t="s">
        <v>241</v>
      </c>
      <c r="D328" s="17" t="s">
        <v>515</v>
      </c>
      <c r="E328" s="4" t="s">
        <v>299</v>
      </c>
      <c r="F328" s="8" t="n">
        <v>15</v>
      </c>
      <c r="G328" s="8" t="n">
        <v>60</v>
      </c>
      <c r="H328" s="4" t="s">
        <v>243</v>
      </c>
      <c r="I328" s="4"/>
      <c r="J328" s="4"/>
      <c r="K328" s="4"/>
      <c r="L328" s="4"/>
      <c r="M328" s="4" t="str">
        <f aca="false">IF(L328="","",IF(L328&lt;F328,"UNDER low est",IF(L328&gt;G328,"OVER high est","within range")))</f>
        <v/>
      </c>
    </row>
    <row r="329" customFormat="false" ht="15" hidden="false" customHeight="true" outlineLevel="0" collapsed="false">
      <c r="A329" s="4" t="n">
        <v>330</v>
      </c>
      <c r="B329" s="6" t="s">
        <v>16</v>
      </c>
      <c r="C329" s="5" t="s">
        <v>516</v>
      </c>
      <c r="D329" s="5" t="s">
        <v>516</v>
      </c>
      <c r="E329" s="4" t="s">
        <v>239</v>
      </c>
      <c r="F329" s="8" t="n">
        <v>10</v>
      </c>
      <c r="G329" s="8" t="n">
        <v>50</v>
      </c>
      <c r="H329" s="4" t="s">
        <v>243</v>
      </c>
      <c r="I329" s="4"/>
      <c r="J329" s="4"/>
      <c r="K329" s="4"/>
      <c r="L329" s="4"/>
      <c r="M329" s="4" t="str">
        <f aca="false">IF(L329="","",IF(L329&lt;F329,"UNDER low est",IF(L329&gt;G329,"OVER high est","within range")))</f>
        <v/>
      </c>
    </row>
    <row r="330" customFormat="false" ht="15" hidden="false" customHeight="true" outlineLevel="0" collapsed="false">
      <c r="A330" s="4" t="n">
        <v>331</v>
      </c>
      <c r="B330" s="6" t="s">
        <v>16</v>
      </c>
      <c r="C330" s="5" t="s">
        <v>517</v>
      </c>
      <c r="D330" s="5" t="s">
        <v>517</v>
      </c>
      <c r="E330" s="4" t="s">
        <v>237</v>
      </c>
      <c r="F330" s="8" t="n">
        <v>10</v>
      </c>
      <c r="G330" s="8" t="n">
        <v>40</v>
      </c>
      <c r="H330" s="4" t="s">
        <v>233</v>
      </c>
      <c r="I330" s="4"/>
      <c r="J330" s="4"/>
      <c r="K330" s="4"/>
      <c r="L330" s="4"/>
      <c r="M330" s="4" t="str">
        <f aca="false">IF(L330="","",IF(L330&lt;F330,"UNDER low est",IF(L330&gt;G330,"OVER high est","within range")))</f>
        <v/>
      </c>
    </row>
    <row r="331" customFormat="false" ht="15" hidden="false" customHeight="true" outlineLevel="0" collapsed="false">
      <c r="A331" s="4" t="n">
        <v>332</v>
      </c>
      <c r="B331" s="6" t="s">
        <v>16</v>
      </c>
      <c r="C331" s="5" t="s">
        <v>518</v>
      </c>
      <c r="D331" s="5" t="s">
        <v>518</v>
      </c>
      <c r="E331" s="4" t="s">
        <v>239</v>
      </c>
      <c r="F331" s="8" t="n">
        <v>10</v>
      </c>
      <c r="G331" s="8" t="n">
        <v>50</v>
      </c>
      <c r="H331" s="4" t="s">
        <v>243</v>
      </c>
      <c r="I331" s="4"/>
      <c r="J331" s="4"/>
      <c r="K331" s="4"/>
      <c r="L331" s="4"/>
      <c r="M331" s="4" t="str">
        <f aca="false">IF(L331="","",IF(L331&lt;F331,"UNDER low est",IF(L331&gt;G331,"OVER high est","within range")))</f>
        <v/>
      </c>
    </row>
    <row r="332" customFormat="false" ht="15" hidden="false" customHeight="true" outlineLevel="0" collapsed="false">
      <c r="A332" s="4" t="n">
        <v>333</v>
      </c>
      <c r="B332" s="6" t="s">
        <v>16</v>
      </c>
      <c r="C332" s="17" t="s">
        <v>241</v>
      </c>
      <c r="D332" s="17" t="s">
        <v>519</v>
      </c>
      <c r="E332" s="4" t="s">
        <v>299</v>
      </c>
      <c r="F332" s="8" t="n">
        <v>15</v>
      </c>
      <c r="G332" s="8" t="n">
        <v>60</v>
      </c>
      <c r="H332" s="4" t="s">
        <v>243</v>
      </c>
      <c r="I332" s="4"/>
      <c r="J332" s="4"/>
      <c r="K332" s="4"/>
      <c r="L332" s="4"/>
      <c r="M332" s="4" t="str">
        <f aca="false">IF(L332="","",IF(L332&lt;F332,"UNDER low est",IF(L332&gt;G332,"OVER high est","within range")))</f>
        <v/>
      </c>
    </row>
    <row r="333" customFormat="false" ht="15" hidden="false" customHeight="true" outlineLevel="0" collapsed="false">
      <c r="A333" s="4" t="n">
        <v>334</v>
      </c>
      <c r="B333" s="6" t="s">
        <v>16</v>
      </c>
      <c r="C333" s="17" t="s">
        <v>241</v>
      </c>
      <c r="D333" s="17" t="s">
        <v>520</v>
      </c>
      <c r="E333" s="4" t="s">
        <v>237</v>
      </c>
      <c r="F333" s="8" t="n">
        <v>10</v>
      </c>
      <c r="G333" s="8" t="n">
        <v>50</v>
      </c>
      <c r="H333" s="4" t="s">
        <v>275</v>
      </c>
      <c r="I333" s="4"/>
      <c r="J333" s="4"/>
      <c r="K333" s="4"/>
      <c r="L333" s="4"/>
      <c r="M333" s="4" t="str">
        <f aca="false">IF(L333="","",IF(L333&lt;F333,"UNDER low est",IF(L333&gt;G333,"OVER high est","within range")))</f>
        <v/>
      </c>
    </row>
    <row r="334" customFormat="false" ht="15" hidden="false" customHeight="true" outlineLevel="0" collapsed="false">
      <c r="A334" s="4" t="n">
        <v>335</v>
      </c>
      <c r="B334" s="6" t="s">
        <v>16</v>
      </c>
      <c r="C334" s="5" t="s">
        <v>521</v>
      </c>
      <c r="D334" s="5" t="s">
        <v>521</v>
      </c>
      <c r="E334" s="4" t="s">
        <v>236</v>
      </c>
      <c r="F334" s="8" t="n">
        <v>15</v>
      </c>
      <c r="G334" s="8" t="n">
        <v>50</v>
      </c>
      <c r="H334" s="4" t="s">
        <v>233</v>
      </c>
      <c r="I334" s="4"/>
      <c r="J334" s="4"/>
      <c r="K334" s="4"/>
      <c r="L334" s="4"/>
      <c r="M334" s="4" t="str">
        <f aca="false">IF(L334="","",IF(L334&lt;F334,"UNDER low est",IF(L334&gt;G334,"OVER high est","within range")))</f>
        <v/>
      </c>
    </row>
    <row r="335" customFormat="false" ht="15" hidden="false" customHeight="true" outlineLevel="0" collapsed="false">
      <c r="A335" s="4" t="n">
        <v>336</v>
      </c>
      <c r="B335" s="6" t="s">
        <v>16</v>
      </c>
      <c r="C335" s="5" t="s">
        <v>522</v>
      </c>
      <c r="D335" s="5" t="s">
        <v>522</v>
      </c>
      <c r="E335" s="4" t="s">
        <v>236</v>
      </c>
      <c r="F335" s="8" t="n">
        <v>50</v>
      </c>
      <c r="G335" s="8" t="n">
        <v>200</v>
      </c>
      <c r="H335" s="4" t="s">
        <v>233</v>
      </c>
      <c r="I335" s="4"/>
      <c r="J335" s="4"/>
      <c r="K335" s="4"/>
      <c r="L335" s="4"/>
      <c r="M335" s="4" t="str">
        <f aca="false">IF(L335="","",IF(L335&lt;F335,"UNDER low est",IF(L335&gt;G335,"OVER high est","within range")))</f>
        <v/>
      </c>
    </row>
    <row r="336" customFormat="false" ht="15" hidden="false" customHeight="true" outlineLevel="0" collapsed="false">
      <c r="A336" s="4" t="n">
        <v>337</v>
      </c>
      <c r="B336" s="6" t="s">
        <v>16</v>
      </c>
      <c r="C336" s="5" t="s">
        <v>523</v>
      </c>
      <c r="D336" s="5" t="s">
        <v>523</v>
      </c>
      <c r="E336" s="4" t="s">
        <v>236</v>
      </c>
      <c r="F336" s="8" t="n">
        <v>10</v>
      </c>
      <c r="G336" s="8" t="n">
        <v>50</v>
      </c>
      <c r="H336" s="4" t="s">
        <v>243</v>
      </c>
      <c r="I336" s="4"/>
      <c r="J336" s="4"/>
      <c r="K336" s="4"/>
      <c r="L336" s="4"/>
      <c r="M336" s="4" t="str">
        <f aca="false">IF(L336="","",IF(L336&lt;F336,"UNDER low est",IF(L336&gt;G336,"OVER high est","within range")))</f>
        <v/>
      </c>
    </row>
    <row r="337" customFormat="false" ht="15" hidden="false" customHeight="true" outlineLevel="0" collapsed="false">
      <c r="A337" s="4" t="n">
        <v>338</v>
      </c>
      <c r="B337" s="6" t="s">
        <v>16</v>
      </c>
      <c r="C337" s="17" t="s">
        <v>241</v>
      </c>
      <c r="D337" s="17" t="s">
        <v>524</v>
      </c>
      <c r="E337" s="4" t="s">
        <v>299</v>
      </c>
      <c r="F337" s="8" t="n">
        <v>10</v>
      </c>
      <c r="G337" s="8" t="n">
        <v>50</v>
      </c>
      <c r="H337" s="4" t="s">
        <v>275</v>
      </c>
      <c r="I337" s="4"/>
      <c r="J337" s="4"/>
      <c r="K337" s="4"/>
      <c r="L337" s="4"/>
      <c r="M337" s="4" t="str">
        <f aca="false">IF(L337="","",IF(L337&lt;F337,"UNDER low est",IF(L337&gt;G337,"OVER high est","within range")))</f>
        <v/>
      </c>
    </row>
    <row r="338" customFormat="false" ht="15" hidden="false" customHeight="true" outlineLevel="0" collapsed="false">
      <c r="A338" s="4" t="n">
        <v>339</v>
      </c>
      <c r="B338" s="6" t="s">
        <v>16</v>
      </c>
      <c r="C338" s="17" t="s">
        <v>241</v>
      </c>
      <c r="D338" s="17" t="s">
        <v>525</v>
      </c>
      <c r="E338" s="4" t="s">
        <v>299</v>
      </c>
      <c r="F338" s="8" t="n">
        <v>10</v>
      </c>
      <c r="G338" s="8" t="n">
        <v>50</v>
      </c>
      <c r="H338" s="4" t="s">
        <v>275</v>
      </c>
      <c r="I338" s="4"/>
      <c r="J338" s="4"/>
      <c r="K338" s="4"/>
      <c r="L338" s="4"/>
      <c r="M338" s="4" t="str">
        <f aca="false">IF(L338="","",IF(L338&lt;F338,"UNDER low est",IF(L338&gt;G338,"OVER high est","within range")))</f>
        <v/>
      </c>
    </row>
    <row r="339" customFormat="false" ht="15" hidden="false" customHeight="true" outlineLevel="0" collapsed="false">
      <c r="A339" s="4" t="n">
        <v>340</v>
      </c>
      <c r="B339" s="6" t="s">
        <v>16</v>
      </c>
      <c r="C339" s="5" t="s">
        <v>523</v>
      </c>
      <c r="D339" s="5" t="s">
        <v>523</v>
      </c>
      <c r="E339" s="4" t="s">
        <v>236</v>
      </c>
      <c r="F339" s="8" t="n">
        <v>10</v>
      </c>
      <c r="G339" s="8" t="n">
        <v>50</v>
      </c>
      <c r="H339" s="4" t="s">
        <v>243</v>
      </c>
      <c r="I339" s="4"/>
      <c r="J339" s="4"/>
      <c r="K339" s="4"/>
      <c r="L339" s="4"/>
      <c r="M339" s="4" t="str">
        <f aca="false">IF(L339="","",IF(L339&lt;F339,"UNDER low est",IF(L339&gt;G339,"OVER high est","within range")))</f>
        <v/>
      </c>
    </row>
    <row r="340" customFormat="false" ht="15" hidden="false" customHeight="true" outlineLevel="0" collapsed="false">
      <c r="A340" s="4" t="n">
        <v>341</v>
      </c>
      <c r="B340" s="6" t="s">
        <v>16</v>
      </c>
      <c r="C340" s="17" t="s">
        <v>241</v>
      </c>
      <c r="D340" s="17" t="s">
        <v>526</v>
      </c>
      <c r="E340" s="4" t="s">
        <v>299</v>
      </c>
      <c r="F340" s="8" t="n">
        <v>10</v>
      </c>
      <c r="G340" s="8" t="n">
        <v>50</v>
      </c>
      <c r="H340" s="4" t="s">
        <v>275</v>
      </c>
      <c r="I340" s="4"/>
      <c r="J340" s="4"/>
      <c r="K340" s="4"/>
      <c r="L340" s="4"/>
      <c r="M340" s="4" t="str">
        <f aca="false">IF(L340="","",IF(L340&lt;F340,"UNDER low est",IF(L340&gt;G340,"OVER high est","within range")))</f>
        <v/>
      </c>
    </row>
    <row r="341" customFormat="false" ht="15" hidden="false" customHeight="true" outlineLevel="0" collapsed="false">
      <c r="A341" s="4" t="n">
        <v>342</v>
      </c>
      <c r="B341" s="6" t="s">
        <v>16</v>
      </c>
      <c r="C341" s="17" t="s">
        <v>241</v>
      </c>
      <c r="D341" s="17" t="s">
        <v>527</v>
      </c>
      <c r="E341" s="4" t="s">
        <v>236</v>
      </c>
      <c r="F341" s="8" t="n">
        <v>10</v>
      </c>
      <c r="G341" s="8" t="n">
        <v>50</v>
      </c>
      <c r="H341" s="4" t="s">
        <v>275</v>
      </c>
      <c r="I341" s="4"/>
      <c r="J341" s="4"/>
      <c r="K341" s="4"/>
      <c r="L341" s="4"/>
      <c r="M341" s="4" t="str">
        <f aca="false">IF(L341="","",IF(L341&lt;F341,"UNDER low est",IF(L341&gt;G341,"OVER high est","within range")))</f>
        <v/>
      </c>
    </row>
    <row r="342" customFormat="false" ht="15" hidden="false" customHeight="true" outlineLevel="0" collapsed="false">
      <c r="A342" s="4" t="n">
        <v>343</v>
      </c>
      <c r="B342" s="6" t="s">
        <v>16</v>
      </c>
      <c r="C342" s="17" t="s">
        <v>241</v>
      </c>
      <c r="D342" s="17" t="s">
        <v>528</v>
      </c>
      <c r="E342" s="4" t="s">
        <v>299</v>
      </c>
      <c r="F342" s="8" t="n">
        <v>10</v>
      </c>
      <c r="G342" s="8" t="n">
        <v>40</v>
      </c>
      <c r="H342" s="4" t="s">
        <v>243</v>
      </c>
      <c r="I342" s="4"/>
      <c r="J342" s="4"/>
      <c r="K342" s="4"/>
      <c r="L342" s="4"/>
      <c r="M342" s="4" t="str">
        <f aca="false">IF(L342="","",IF(L342&lt;F342,"UNDER low est",IF(L342&gt;G342,"OVER high est","within range")))</f>
        <v/>
      </c>
    </row>
    <row r="343" customFormat="false" ht="15" hidden="false" customHeight="true" outlineLevel="0" collapsed="false">
      <c r="A343" s="4" t="n">
        <v>344</v>
      </c>
      <c r="B343" s="6" t="s">
        <v>16</v>
      </c>
      <c r="C343" s="5" t="s">
        <v>529</v>
      </c>
      <c r="D343" s="5" t="s">
        <v>529</v>
      </c>
      <c r="E343" s="4" t="s">
        <v>281</v>
      </c>
      <c r="F343" s="8" t="n">
        <v>10</v>
      </c>
      <c r="G343" s="8" t="n">
        <v>40</v>
      </c>
      <c r="H343" s="4" t="s">
        <v>233</v>
      </c>
      <c r="I343" s="4"/>
      <c r="J343" s="4"/>
      <c r="K343" s="4"/>
      <c r="L343" s="4"/>
      <c r="M343" s="4" t="str">
        <f aca="false">IF(L343="","",IF(L343&lt;F343,"UNDER low est",IF(L343&gt;G343,"OVER high est","within range")))</f>
        <v/>
      </c>
    </row>
    <row r="344" customFormat="false" ht="15" hidden="false" customHeight="true" outlineLevel="0" collapsed="false">
      <c r="A344" s="4" t="n">
        <v>345</v>
      </c>
      <c r="B344" s="6" t="s">
        <v>16</v>
      </c>
      <c r="C344" s="5" t="s">
        <v>530</v>
      </c>
      <c r="D344" s="5" t="s">
        <v>530</v>
      </c>
      <c r="E344" s="4" t="s">
        <v>271</v>
      </c>
      <c r="F344" s="8" t="n">
        <v>20</v>
      </c>
      <c r="G344" s="8" t="n">
        <v>80</v>
      </c>
      <c r="H344" s="4" t="s">
        <v>233</v>
      </c>
      <c r="I344" s="4"/>
      <c r="J344" s="4"/>
      <c r="K344" s="4"/>
      <c r="L344" s="4"/>
      <c r="M344" s="4" t="str">
        <f aca="false">IF(L344="","",IF(L344&lt;F344,"UNDER low est",IF(L344&gt;G344,"OVER high est","within range")))</f>
        <v/>
      </c>
    </row>
    <row r="345" customFormat="false" ht="15" hidden="false" customHeight="true" outlineLevel="0" collapsed="false">
      <c r="A345" s="4" t="n">
        <v>346</v>
      </c>
      <c r="B345" s="6" t="s">
        <v>16</v>
      </c>
      <c r="C345" s="17" t="s">
        <v>241</v>
      </c>
      <c r="D345" s="17" t="s">
        <v>531</v>
      </c>
      <c r="E345" s="4" t="s">
        <v>281</v>
      </c>
      <c r="F345" s="8" t="n">
        <v>10</v>
      </c>
      <c r="G345" s="8" t="n">
        <v>40</v>
      </c>
      <c r="H345" s="4" t="s">
        <v>243</v>
      </c>
      <c r="I345" s="4"/>
      <c r="J345" s="4"/>
      <c r="K345" s="4"/>
      <c r="L345" s="4"/>
      <c r="M345" s="4" t="str">
        <f aca="false">IF(L345="","",IF(L345&lt;F345,"UNDER low est",IF(L345&gt;G345,"OVER high est","within range")))</f>
        <v/>
      </c>
    </row>
    <row r="346" customFormat="false" ht="15" hidden="false" customHeight="true" outlineLevel="0" collapsed="false">
      <c r="A346" s="4" t="n">
        <v>347</v>
      </c>
      <c r="B346" s="6" t="s">
        <v>16</v>
      </c>
      <c r="C346" s="5" t="s">
        <v>532</v>
      </c>
      <c r="D346" s="5" t="s">
        <v>532</v>
      </c>
      <c r="E346" s="4" t="s">
        <v>239</v>
      </c>
      <c r="F346" s="8" t="n">
        <v>25</v>
      </c>
      <c r="G346" s="8" t="n">
        <v>100</v>
      </c>
      <c r="H346" s="4" t="s">
        <v>233</v>
      </c>
      <c r="I346" s="4"/>
      <c r="J346" s="4"/>
      <c r="K346" s="4"/>
      <c r="L346" s="4"/>
      <c r="M346" s="4" t="str">
        <f aca="false">IF(L346="","",IF(L346&lt;F346,"UNDER low est",IF(L346&gt;G346,"OVER high est","within range")))</f>
        <v/>
      </c>
    </row>
    <row r="347" customFormat="false" ht="15" hidden="false" customHeight="true" outlineLevel="0" collapsed="false">
      <c r="A347" s="4" t="n">
        <v>348</v>
      </c>
      <c r="B347" s="6" t="s">
        <v>16</v>
      </c>
      <c r="C347" s="5" t="s">
        <v>533</v>
      </c>
      <c r="D347" s="5" t="s">
        <v>533</v>
      </c>
      <c r="E347" s="4" t="s">
        <v>239</v>
      </c>
      <c r="F347" s="8" t="n">
        <v>10</v>
      </c>
      <c r="G347" s="8" t="n">
        <v>50</v>
      </c>
      <c r="H347" s="4" t="s">
        <v>243</v>
      </c>
      <c r="I347" s="4"/>
      <c r="J347" s="4"/>
      <c r="K347" s="4"/>
      <c r="L347" s="4"/>
      <c r="M347" s="4" t="str">
        <f aca="false">IF(L347="","",IF(L347&lt;F347,"UNDER low est",IF(L347&gt;G347,"OVER high est","within range")))</f>
        <v/>
      </c>
    </row>
    <row r="348" customFormat="false" ht="15" hidden="false" customHeight="true" outlineLevel="0" collapsed="false">
      <c r="A348" s="4" t="n">
        <v>349</v>
      </c>
      <c r="B348" s="6" t="s">
        <v>16</v>
      </c>
      <c r="C348" s="5" t="s">
        <v>534</v>
      </c>
      <c r="D348" s="5" t="s">
        <v>534</v>
      </c>
      <c r="E348" s="4" t="s">
        <v>236</v>
      </c>
      <c r="F348" s="8" t="n">
        <v>75</v>
      </c>
      <c r="G348" s="8" t="n">
        <v>250</v>
      </c>
      <c r="H348" s="4" t="s">
        <v>233</v>
      </c>
      <c r="I348" s="4"/>
      <c r="J348" s="4"/>
      <c r="K348" s="4"/>
      <c r="L348" s="4"/>
      <c r="M348" s="4" t="str">
        <f aca="false">IF(L348="","",IF(L348&lt;F348,"UNDER low est",IF(L348&gt;G348,"OVER high est","within range")))</f>
        <v/>
      </c>
    </row>
    <row r="349" customFormat="false" ht="15" hidden="false" customHeight="true" outlineLevel="0" collapsed="false">
      <c r="A349" s="4" t="n">
        <v>350</v>
      </c>
      <c r="B349" s="6" t="s">
        <v>16</v>
      </c>
      <c r="C349" s="17" t="s">
        <v>241</v>
      </c>
      <c r="D349" s="17" t="s">
        <v>535</v>
      </c>
      <c r="E349" s="4" t="s">
        <v>236</v>
      </c>
      <c r="F349" s="8" t="n">
        <v>75</v>
      </c>
      <c r="G349" s="8" t="n">
        <v>250</v>
      </c>
      <c r="H349" s="4" t="s">
        <v>243</v>
      </c>
      <c r="I349" s="16" t="s">
        <v>234</v>
      </c>
      <c r="J349" s="4"/>
      <c r="K349" s="4"/>
      <c r="L349" s="4"/>
      <c r="M349" s="4" t="str">
        <f aca="false">IF(L349="","",IF(L349&lt;F349,"UNDER low est",IF(L349&gt;G349,"OVER high est","within range")))</f>
        <v/>
      </c>
    </row>
    <row r="350" customFormat="false" ht="15" hidden="false" customHeight="true" outlineLevel="0" collapsed="false">
      <c r="A350" s="4" t="n">
        <v>351</v>
      </c>
      <c r="B350" s="6" t="s">
        <v>16</v>
      </c>
      <c r="C350" s="5" t="s">
        <v>534</v>
      </c>
      <c r="D350" s="5" t="s">
        <v>534</v>
      </c>
      <c r="E350" s="4" t="s">
        <v>236</v>
      </c>
      <c r="F350" s="8" t="n">
        <v>75</v>
      </c>
      <c r="G350" s="8" t="n">
        <v>250</v>
      </c>
      <c r="H350" s="4" t="s">
        <v>233</v>
      </c>
      <c r="I350" s="4"/>
      <c r="J350" s="4"/>
      <c r="K350" s="4"/>
      <c r="L350" s="4"/>
      <c r="M350" s="4" t="str">
        <f aca="false">IF(L350="","",IF(L350&lt;F350,"UNDER low est",IF(L350&gt;G350,"OVER high est","within range")))</f>
        <v/>
      </c>
    </row>
    <row r="351" customFormat="false" ht="15" hidden="false" customHeight="true" outlineLevel="0" collapsed="false">
      <c r="A351" s="4" t="n">
        <v>352</v>
      </c>
      <c r="B351" s="6" t="s">
        <v>16</v>
      </c>
      <c r="C351" s="17" t="s">
        <v>241</v>
      </c>
      <c r="D351" s="17" t="s">
        <v>535</v>
      </c>
      <c r="E351" s="4" t="s">
        <v>236</v>
      </c>
      <c r="F351" s="8" t="n">
        <v>75</v>
      </c>
      <c r="G351" s="8" t="n">
        <v>250</v>
      </c>
      <c r="H351" s="4" t="s">
        <v>243</v>
      </c>
      <c r="I351" s="16" t="s">
        <v>234</v>
      </c>
      <c r="J351" s="4"/>
      <c r="K351" s="4"/>
      <c r="L351" s="4"/>
      <c r="M351" s="4" t="str">
        <f aca="false">IF(L351="","",IF(L351&lt;F351,"UNDER low est",IF(L351&gt;G351,"OVER high est","within range")))</f>
        <v/>
      </c>
    </row>
    <row r="352" customFormat="false" ht="15" hidden="false" customHeight="true" outlineLevel="0" collapsed="false">
      <c r="A352" s="4" t="n">
        <v>353</v>
      </c>
      <c r="B352" s="6" t="s">
        <v>16</v>
      </c>
      <c r="C352" s="5" t="s">
        <v>536</v>
      </c>
      <c r="D352" s="5" t="s">
        <v>536</v>
      </c>
      <c r="E352" s="4" t="s">
        <v>81</v>
      </c>
      <c r="F352" s="8" t="n">
        <v>75</v>
      </c>
      <c r="G352" s="8" t="n">
        <v>350</v>
      </c>
      <c r="H352" s="4" t="s">
        <v>233</v>
      </c>
      <c r="I352" s="16" t="s">
        <v>234</v>
      </c>
      <c r="J352" s="4"/>
      <c r="K352" s="4"/>
      <c r="L352" s="4"/>
      <c r="M352" s="4" t="str">
        <f aca="false">IF(L352="","",IF(L352&lt;F352,"UNDER low est",IF(L352&gt;G352,"OVER high est","within range")))</f>
        <v/>
      </c>
    </row>
    <row r="353" customFormat="false" ht="15" hidden="false" customHeight="true" outlineLevel="0" collapsed="false">
      <c r="A353" s="4" t="n">
        <v>354</v>
      </c>
      <c r="B353" s="6" t="s">
        <v>16</v>
      </c>
      <c r="C353" s="17" t="s">
        <v>241</v>
      </c>
      <c r="D353" s="17" t="s">
        <v>537</v>
      </c>
      <c r="E353" s="4" t="s">
        <v>239</v>
      </c>
      <c r="F353" s="8" t="n">
        <v>20</v>
      </c>
      <c r="G353" s="8" t="n">
        <v>60</v>
      </c>
      <c r="H353" s="4" t="s">
        <v>243</v>
      </c>
      <c r="I353" s="4"/>
      <c r="J353" s="4"/>
      <c r="K353" s="4"/>
      <c r="L353" s="4"/>
      <c r="M353" s="4" t="str">
        <f aca="false">IF(L353="","",IF(L353&lt;F353,"UNDER low est",IF(L353&gt;G353,"OVER high est","within range")))</f>
        <v/>
      </c>
    </row>
    <row r="354" customFormat="false" ht="15" hidden="false" customHeight="true" outlineLevel="0" collapsed="false">
      <c r="A354" s="4" t="n">
        <v>355</v>
      </c>
      <c r="B354" s="6" t="s">
        <v>16</v>
      </c>
      <c r="C354" s="5" t="s">
        <v>536</v>
      </c>
      <c r="D354" s="5" t="s">
        <v>536</v>
      </c>
      <c r="E354" s="4" t="s">
        <v>81</v>
      </c>
      <c r="F354" s="8" t="n">
        <v>75</v>
      </c>
      <c r="G354" s="8" t="n">
        <v>350</v>
      </c>
      <c r="H354" s="4" t="s">
        <v>233</v>
      </c>
      <c r="I354" s="4"/>
      <c r="J354" s="4"/>
      <c r="K354" s="4"/>
      <c r="L354" s="4"/>
      <c r="M354" s="4" t="str">
        <f aca="false">IF(L354="","",IF(L354&lt;F354,"UNDER low est",IF(L354&gt;G354,"OVER high est","within range")))</f>
        <v/>
      </c>
    </row>
    <row r="355" customFormat="false" ht="15" hidden="false" customHeight="true" outlineLevel="0" collapsed="false">
      <c r="A355" s="4" t="n">
        <v>356</v>
      </c>
      <c r="B355" s="6" t="s">
        <v>16</v>
      </c>
      <c r="C355" s="17" t="s">
        <v>241</v>
      </c>
      <c r="D355" s="17" t="s">
        <v>538</v>
      </c>
      <c r="E355" s="4" t="s">
        <v>239</v>
      </c>
      <c r="F355" s="8" t="n">
        <v>10</v>
      </c>
      <c r="G355" s="8" t="n">
        <v>50</v>
      </c>
      <c r="H355" s="4" t="s">
        <v>275</v>
      </c>
      <c r="I355" s="4"/>
      <c r="J355" s="4"/>
      <c r="K355" s="4"/>
      <c r="L355" s="4"/>
      <c r="M355" s="4" t="str">
        <f aca="false">IF(L355="","",IF(L355&lt;F355,"UNDER low est",IF(L355&gt;G355,"OVER high est","within range")))</f>
        <v/>
      </c>
    </row>
    <row r="356" customFormat="false" ht="15" hidden="false" customHeight="true" outlineLevel="0" collapsed="false">
      <c r="A356" s="4" t="n">
        <v>357</v>
      </c>
      <c r="B356" s="6" t="s">
        <v>16</v>
      </c>
      <c r="C356" s="5" t="s">
        <v>539</v>
      </c>
      <c r="D356" s="5" t="s">
        <v>539</v>
      </c>
      <c r="E356" s="4" t="s">
        <v>271</v>
      </c>
      <c r="F356" s="8" t="n">
        <v>20</v>
      </c>
      <c r="G356" s="8" t="n">
        <v>50</v>
      </c>
      <c r="H356" s="4" t="s">
        <v>233</v>
      </c>
      <c r="I356" s="4"/>
      <c r="J356" s="4"/>
      <c r="K356" s="4"/>
      <c r="L356" s="4"/>
      <c r="M356" s="4" t="str">
        <f aca="false">IF(L356="","",IF(L356&lt;F356,"UNDER low est",IF(L356&gt;G356,"OVER high est","within range")))</f>
        <v/>
      </c>
    </row>
    <row r="357" customFormat="false" ht="15" hidden="false" customHeight="true" outlineLevel="0" collapsed="false">
      <c r="A357" s="4" t="n">
        <v>358</v>
      </c>
      <c r="B357" s="6" t="s">
        <v>16</v>
      </c>
      <c r="C357" s="5" t="s">
        <v>540</v>
      </c>
      <c r="D357" s="5" t="s">
        <v>540</v>
      </c>
      <c r="E357" s="4" t="s">
        <v>271</v>
      </c>
      <c r="F357" s="8" t="n">
        <v>50</v>
      </c>
      <c r="G357" s="8" t="n">
        <v>100</v>
      </c>
      <c r="H357" s="4" t="s">
        <v>233</v>
      </c>
      <c r="I357" s="16" t="s">
        <v>234</v>
      </c>
      <c r="J357" s="4"/>
      <c r="K357" s="4"/>
      <c r="L357" s="4"/>
      <c r="M357" s="4" t="str">
        <f aca="false">IF(L357="","",IF(L357&lt;F357,"UNDER low est",IF(L357&gt;G357,"OVER high est","within range")))</f>
        <v/>
      </c>
    </row>
    <row r="358" customFormat="false" ht="15" hidden="false" customHeight="true" outlineLevel="0" collapsed="false">
      <c r="A358" s="4" t="n">
        <v>359</v>
      </c>
      <c r="B358" s="6" t="s">
        <v>16</v>
      </c>
      <c r="C358" s="5" t="s">
        <v>541</v>
      </c>
      <c r="D358" s="5" t="s">
        <v>541</v>
      </c>
      <c r="E358" s="4" t="s">
        <v>271</v>
      </c>
      <c r="F358" s="8" t="n">
        <v>100</v>
      </c>
      <c r="G358" s="8" t="n">
        <v>250</v>
      </c>
      <c r="H358" s="4" t="s">
        <v>233</v>
      </c>
      <c r="I358" s="16" t="s">
        <v>234</v>
      </c>
      <c r="J358" s="4"/>
      <c r="K358" s="4"/>
      <c r="L358" s="4"/>
      <c r="M358" s="4" t="str">
        <f aca="false">IF(L358="","",IF(L358&lt;F358,"UNDER low est",IF(L358&gt;G358,"OVER high est","within range")))</f>
        <v/>
      </c>
    </row>
    <row r="359" customFormat="false" ht="15" hidden="false" customHeight="true" outlineLevel="0" collapsed="false">
      <c r="A359" s="4" t="n">
        <v>360</v>
      </c>
      <c r="B359" s="6" t="s">
        <v>16</v>
      </c>
      <c r="C359" s="5" t="s">
        <v>158</v>
      </c>
      <c r="D359" s="5" t="s">
        <v>158</v>
      </c>
      <c r="E359" s="4" t="s">
        <v>237</v>
      </c>
      <c r="F359" s="8" t="n">
        <v>50</v>
      </c>
      <c r="G359" s="8" t="n">
        <v>300</v>
      </c>
      <c r="H359" s="4" t="s">
        <v>233</v>
      </c>
      <c r="I359" s="16" t="s">
        <v>234</v>
      </c>
      <c r="J359" s="4"/>
      <c r="K359" s="4"/>
      <c r="L359" s="4"/>
      <c r="M359" s="4" t="str">
        <f aca="false">IF(L359="","",IF(L359&lt;F359,"UNDER low est",IF(L359&gt;G359,"OVER high est","within range")))</f>
        <v/>
      </c>
    </row>
    <row r="360" customFormat="false" ht="15" hidden="false" customHeight="true" outlineLevel="0" collapsed="false">
      <c r="A360" s="4" t="n">
        <v>361</v>
      </c>
      <c r="B360" s="6" t="s">
        <v>16</v>
      </c>
      <c r="C360" s="5" t="s">
        <v>542</v>
      </c>
      <c r="D360" s="5" t="s">
        <v>542</v>
      </c>
      <c r="E360" s="4" t="s">
        <v>237</v>
      </c>
      <c r="F360" s="8" t="n">
        <v>20</v>
      </c>
      <c r="G360" s="8" t="n">
        <v>80</v>
      </c>
      <c r="H360" s="4" t="s">
        <v>233</v>
      </c>
      <c r="I360" s="4"/>
      <c r="J360" s="4"/>
      <c r="K360" s="4"/>
      <c r="L360" s="4"/>
      <c r="M360" s="4" t="str">
        <f aca="false">IF(L360="","",IF(L360&lt;F360,"UNDER low est",IF(L360&gt;G360,"OVER high est","within range")))</f>
        <v/>
      </c>
    </row>
    <row r="361" customFormat="false" ht="15" hidden="false" customHeight="true" outlineLevel="0" collapsed="false">
      <c r="A361" s="4" t="n">
        <v>362</v>
      </c>
      <c r="B361" s="6" t="s">
        <v>16</v>
      </c>
      <c r="C361" s="5" t="s">
        <v>543</v>
      </c>
      <c r="D361" s="5" t="s">
        <v>543</v>
      </c>
      <c r="E361" s="4" t="s">
        <v>237</v>
      </c>
      <c r="F361" s="8" t="n">
        <v>10</v>
      </c>
      <c r="G361" s="8" t="n">
        <v>50</v>
      </c>
      <c r="H361" s="4" t="s">
        <v>243</v>
      </c>
      <c r="I361" s="4"/>
      <c r="J361" s="4"/>
      <c r="K361" s="4"/>
      <c r="L361" s="4"/>
      <c r="M361" s="4" t="str">
        <f aca="false">IF(L361="","",IF(L361&lt;F361,"UNDER low est",IF(L361&gt;G361,"OVER high est","within range")))</f>
        <v/>
      </c>
    </row>
    <row r="362" customFormat="false" ht="15" hidden="false" customHeight="true" outlineLevel="0" collapsed="false">
      <c r="A362" s="4" t="n">
        <v>363</v>
      </c>
      <c r="B362" s="6" t="s">
        <v>16</v>
      </c>
      <c r="C362" s="17" t="s">
        <v>241</v>
      </c>
      <c r="D362" s="17" t="s">
        <v>544</v>
      </c>
      <c r="E362" s="4" t="s">
        <v>239</v>
      </c>
      <c r="F362" s="8" t="n">
        <v>10</v>
      </c>
      <c r="G362" s="8" t="n">
        <v>50</v>
      </c>
      <c r="H362" s="4" t="s">
        <v>275</v>
      </c>
      <c r="I362" s="4"/>
      <c r="J362" s="4"/>
      <c r="K362" s="4"/>
      <c r="L362" s="4"/>
      <c r="M362" s="4" t="str">
        <f aca="false">IF(L362="","",IF(L362&lt;F362,"UNDER low est",IF(L362&gt;G362,"OVER high est","within range")))</f>
        <v/>
      </c>
    </row>
    <row r="363" customFormat="false" ht="15" hidden="false" customHeight="true" outlineLevel="0" collapsed="false">
      <c r="A363" s="4" t="n">
        <v>364</v>
      </c>
      <c r="B363" s="6" t="s">
        <v>16</v>
      </c>
      <c r="C363" s="5" t="s">
        <v>545</v>
      </c>
      <c r="D363" s="5" t="s">
        <v>545</v>
      </c>
      <c r="E363" s="4" t="s">
        <v>237</v>
      </c>
      <c r="F363" s="8" t="n">
        <v>75</v>
      </c>
      <c r="G363" s="8" t="n">
        <v>200</v>
      </c>
      <c r="H363" s="4" t="s">
        <v>233</v>
      </c>
      <c r="I363" s="4"/>
      <c r="J363" s="4"/>
      <c r="K363" s="4"/>
      <c r="L363" s="4"/>
      <c r="M363" s="4" t="str">
        <f aca="false">IF(L363="","",IF(L363&lt;F363,"UNDER low est",IF(L363&gt;G363,"OVER high est","within range")))</f>
        <v/>
      </c>
    </row>
    <row r="364" customFormat="false" ht="15" hidden="false" customHeight="true" outlineLevel="0" collapsed="false">
      <c r="A364" s="4" t="n">
        <v>365</v>
      </c>
      <c r="B364" s="6" t="s">
        <v>16</v>
      </c>
      <c r="C364" s="5" t="s">
        <v>546</v>
      </c>
      <c r="D364" s="5" t="s">
        <v>546</v>
      </c>
      <c r="E364" s="4" t="s">
        <v>59</v>
      </c>
      <c r="F364" s="8" t="n">
        <v>40</v>
      </c>
      <c r="G364" s="8" t="n">
        <v>150</v>
      </c>
      <c r="H364" s="4" t="s">
        <v>233</v>
      </c>
      <c r="I364" s="4"/>
      <c r="J364" s="4"/>
      <c r="K364" s="4"/>
      <c r="L364" s="4"/>
      <c r="M364" s="4" t="str">
        <f aca="false">IF(L364="","",IF(L364&lt;F364,"UNDER low est",IF(L364&gt;G364,"OVER high est","within range")))</f>
        <v/>
      </c>
    </row>
    <row r="365" customFormat="false" ht="15" hidden="false" customHeight="true" outlineLevel="0" collapsed="false">
      <c r="A365" s="4" t="n">
        <v>366</v>
      </c>
      <c r="B365" s="6" t="s">
        <v>16</v>
      </c>
      <c r="C365" s="5" t="s">
        <v>547</v>
      </c>
      <c r="D365" s="5" t="s">
        <v>547</v>
      </c>
      <c r="E365" s="4" t="s">
        <v>237</v>
      </c>
      <c r="F365" s="8" t="n">
        <v>10</v>
      </c>
      <c r="G365" s="8" t="n">
        <v>50</v>
      </c>
      <c r="H365" s="4" t="s">
        <v>243</v>
      </c>
      <c r="I365" s="4"/>
      <c r="J365" s="4"/>
      <c r="K365" s="4"/>
      <c r="L365" s="4"/>
      <c r="M365" s="4" t="str">
        <f aca="false">IF(L365="","",IF(L365&lt;F365,"UNDER low est",IF(L365&gt;G365,"OVER high est","within range")))</f>
        <v/>
      </c>
    </row>
    <row r="366" customFormat="false" ht="15" hidden="false" customHeight="true" outlineLevel="0" collapsed="false">
      <c r="A366" s="4" t="n">
        <v>367</v>
      </c>
      <c r="B366" s="6" t="s">
        <v>16</v>
      </c>
      <c r="C366" s="17" t="s">
        <v>241</v>
      </c>
      <c r="D366" s="17" t="s">
        <v>548</v>
      </c>
      <c r="E366" s="4" t="s">
        <v>239</v>
      </c>
      <c r="F366" s="8" t="n">
        <v>40</v>
      </c>
      <c r="G366" s="8" t="n">
        <v>150</v>
      </c>
      <c r="H366" s="4" t="s">
        <v>243</v>
      </c>
      <c r="I366" s="4"/>
      <c r="J366" s="4"/>
      <c r="K366" s="4"/>
      <c r="L366" s="4"/>
      <c r="M366" s="4" t="str">
        <f aca="false">IF(L366="","",IF(L366&lt;F366,"UNDER low est",IF(L366&gt;G366,"OVER high est","within range")))</f>
        <v/>
      </c>
    </row>
    <row r="367" customFormat="false" ht="15" hidden="false" customHeight="true" outlineLevel="0" collapsed="false">
      <c r="A367" s="4" t="n">
        <v>368</v>
      </c>
      <c r="B367" s="6" t="s">
        <v>16</v>
      </c>
      <c r="C367" s="5" t="s">
        <v>549</v>
      </c>
      <c r="D367" s="5" t="s">
        <v>549</v>
      </c>
      <c r="E367" s="4" t="s">
        <v>239</v>
      </c>
      <c r="F367" s="8" t="n">
        <v>10</v>
      </c>
      <c r="G367" s="8" t="n">
        <v>50</v>
      </c>
      <c r="H367" s="4" t="s">
        <v>243</v>
      </c>
      <c r="I367" s="4"/>
      <c r="J367" s="4"/>
      <c r="K367" s="4"/>
      <c r="L367" s="4"/>
      <c r="M367" s="4" t="str">
        <f aca="false">IF(L367="","",IF(L367&lt;F367,"UNDER low est",IF(L367&gt;G367,"OVER high est","within range")))</f>
        <v/>
      </c>
    </row>
    <row r="368" customFormat="false" ht="15" hidden="false" customHeight="true" outlineLevel="0" collapsed="false">
      <c r="A368" s="4" t="n">
        <v>370</v>
      </c>
      <c r="B368" s="6" t="s">
        <v>16</v>
      </c>
      <c r="C368" s="5" t="s">
        <v>550</v>
      </c>
      <c r="D368" s="5" t="s">
        <v>550</v>
      </c>
      <c r="E368" s="4" t="s">
        <v>239</v>
      </c>
      <c r="F368" s="8" t="n">
        <v>10</v>
      </c>
      <c r="G368" s="8" t="n">
        <v>50</v>
      </c>
      <c r="H368" s="4" t="s">
        <v>243</v>
      </c>
      <c r="I368" s="4"/>
      <c r="J368" s="4"/>
      <c r="K368" s="4"/>
      <c r="L368" s="4"/>
      <c r="M368" s="4" t="str">
        <f aca="false">IF(L368="","",IF(L368&lt;F368,"UNDER low est",IF(L368&gt;G368,"OVER high est","within range")))</f>
        <v/>
      </c>
    </row>
    <row r="369" customFormat="false" ht="15" hidden="false" customHeight="true" outlineLevel="0" collapsed="false">
      <c r="A369" s="4" t="n">
        <v>371</v>
      </c>
      <c r="B369" s="6" t="s">
        <v>16</v>
      </c>
      <c r="C369" s="5" t="s">
        <v>551</v>
      </c>
      <c r="D369" s="5" t="s">
        <v>551</v>
      </c>
      <c r="E369" s="4" t="s">
        <v>239</v>
      </c>
      <c r="F369" s="8" t="n">
        <v>10</v>
      </c>
      <c r="G369" s="8" t="n">
        <v>50</v>
      </c>
      <c r="H369" s="4" t="s">
        <v>243</v>
      </c>
      <c r="I369" s="4"/>
      <c r="J369" s="4"/>
      <c r="K369" s="4"/>
      <c r="L369" s="4"/>
      <c r="M369" s="4" t="str">
        <f aca="false">IF(L369="","",IF(L369&lt;F369,"UNDER low est",IF(L369&gt;G369,"OVER high est","within range")))</f>
        <v/>
      </c>
    </row>
    <row r="370" customFormat="false" ht="15" hidden="false" customHeight="true" outlineLevel="0" collapsed="false">
      <c r="A370" s="4" t="n">
        <v>372</v>
      </c>
      <c r="B370" s="6" t="s">
        <v>16</v>
      </c>
      <c r="C370" s="5" t="s">
        <v>552</v>
      </c>
      <c r="D370" s="5" t="s">
        <v>552</v>
      </c>
      <c r="E370" s="4" t="s">
        <v>239</v>
      </c>
      <c r="F370" s="8" t="n">
        <v>10</v>
      </c>
      <c r="G370" s="8" t="n">
        <v>50</v>
      </c>
      <c r="H370" s="4" t="s">
        <v>243</v>
      </c>
      <c r="I370" s="4"/>
      <c r="J370" s="4"/>
      <c r="K370" s="4"/>
      <c r="L370" s="4"/>
      <c r="M370" s="4" t="str">
        <f aca="false">IF(L370="","",IF(L370&lt;F370,"UNDER low est",IF(L370&gt;G370,"OVER high est","within range")))</f>
        <v/>
      </c>
    </row>
    <row r="371" customFormat="false" ht="15" hidden="false" customHeight="true" outlineLevel="0" collapsed="false">
      <c r="A371" s="4" t="n">
        <v>373</v>
      </c>
      <c r="B371" s="6" t="s">
        <v>16</v>
      </c>
      <c r="C371" s="5" t="s">
        <v>553</v>
      </c>
      <c r="D371" s="5" t="s">
        <v>553</v>
      </c>
      <c r="E371" s="4" t="s">
        <v>239</v>
      </c>
      <c r="F371" s="8" t="n">
        <v>10</v>
      </c>
      <c r="G371" s="8" t="n">
        <v>50</v>
      </c>
      <c r="H371" s="4" t="s">
        <v>243</v>
      </c>
      <c r="I371" s="4"/>
      <c r="J371" s="4"/>
      <c r="K371" s="4"/>
      <c r="L371" s="4"/>
      <c r="M371" s="4" t="str">
        <f aca="false">IF(L371="","",IF(L371&lt;F371,"UNDER low est",IF(L371&gt;G371,"OVER high est","within range")))</f>
        <v/>
      </c>
    </row>
    <row r="372" customFormat="false" ht="15" hidden="false" customHeight="true" outlineLevel="0" collapsed="false">
      <c r="A372" s="4" t="n">
        <v>374</v>
      </c>
      <c r="B372" s="6" t="s">
        <v>16</v>
      </c>
      <c r="C372" s="5" t="s">
        <v>554</v>
      </c>
      <c r="D372" s="5" t="s">
        <v>554</v>
      </c>
      <c r="E372" s="4" t="s">
        <v>237</v>
      </c>
      <c r="F372" s="8" t="n">
        <v>15</v>
      </c>
      <c r="G372" s="8" t="n">
        <v>60</v>
      </c>
      <c r="H372" s="4" t="s">
        <v>233</v>
      </c>
      <c r="I372" s="4"/>
      <c r="J372" s="4"/>
      <c r="K372" s="4"/>
      <c r="L372" s="4"/>
      <c r="M372" s="4" t="str">
        <f aca="false">IF(L372="","",IF(L372&lt;F372,"UNDER low est",IF(L372&gt;G372,"OVER high est","within range")))</f>
        <v/>
      </c>
    </row>
    <row r="373" customFormat="false" ht="15" hidden="false" customHeight="true" outlineLevel="0" collapsed="false">
      <c r="A373" s="4" t="n">
        <v>375</v>
      </c>
      <c r="B373" s="6" t="s">
        <v>16</v>
      </c>
      <c r="C373" s="17" t="s">
        <v>241</v>
      </c>
      <c r="D373" s="17" t="s">
        <v>555</v>
      </c>
      <c r="E373" s="4" t="s">
        <v>237</v>
      </c>
      <c r="F373" s="8" t="n">
        <v>15</v>
      </c>
      <c r="G373" s="8" t="n">
        <v>60</v>
      </c>
      <c r="H373" s="4" t="s">
        <v>243</v>
      </c>
      <c r="I373" s="4"/>
      <c r="J373" s="4"/>
      <c r="K373" s="4"/>
      <c r="L373" s="4"/>
      <c r="M373" s="4" t="str">
        <f aca="false">IF(L373="","",IF(L373&lt;F373,"UNDER low est",IF(L373&gt;G373,"OVER high est","within range")))</f>
        <v/>
      </c>
    </row>
    <row r="374" customFormat="false" ht="15" hidden="false" customHeight="true" outlineLevel="0" collapsed="false">
      <c r="A374" s="4" t="n">
        <v>376</v>
      </c>
      <c r="B374" s="6" t="s">
        <v>16</v>
      </c>
      <c r="C374" s="5" t="s">
        <v>556</v>
      </c>
      <c r="D374" s="5" t="s">
        <v>556</v>
      </c>
      <c r="E374" s="4" t="s">
        <v>239</v>
      </c>
      <c r="F374" s="8" t="n">
        <v>10</v>
      </c>
      <c r="G374" s="8" t="n">
        <v>50</v>
      </c>
      <c r="H374" s="4" t="s">
        <v>243</v>
      </c>
      <c r="I374" s="4"/>
      <c r="J374" s="4"/>
      <c r="K374" s="4"/>
      <c r="L374" s="4"/>
      <c r="M374" s="4" t="str">
        <f aca="false">IF(L374="","",IF(L374&lt;F374,"UNDER low est",IF(L374&gt;G374,"OVER high est","within range")))</f>
        <v/>
      </c>
    </row>
    <row r="375" customFormat="false" ht="15" hidden="false" customHeight="true" outlineLevel="0" collapsed="false">
      <c r="A375" s="4" t="n">
        <v>377</v>
      </c>
      <c r="B375" s="6" t="s">
        <v>16</v>
      </c>
      <c r="C375" s="5" t="s">
        <v>554</v>
      </c>
      <c r="D375" s="5" t="s">
        <v>554</v>
      </c>
      <c r="E375" s="4" t="s">
        <v>237</v>
      </c>
      <c r="F375" s="8" t="n">
        <v>15</v>
      </c>
      <c r="G375" s="8" t="n">
        <v>60</v>
      </c>
      <c r="H375" s="4" t="s">
        <v>233</v>
      </c>
      <c r="I375" s="4"/>
      <c r="J375" s="4"/>
      <c r="K375" s="4"/>
      <c r="L375" s="4"/>
      <c r="M375" s="4" t="str">
        <f aca="false">IF(L375="","",IF(L375&lt;F375,"UNDER low est",IF(L375&gt;G375,"OVER high est","within range")))</f>
        <v/>
      </c>
    </row>
    <row r="376" customFormat="false" ht="15" hidden="false" customHeight="true" outlineLevel="0" collapsed="false">
      <c r="A376" s="4" t="n">
        <v>378</v>
      </c>
      <c r="B376" s="6" t="s">
        <v>16</v>
      </c>
      <c r="C376" s="17" t="s">
        <v>241</v>
      </c>
      <c r="D376" s="17" t="s">
        <v>557</v>
      </c>
      <c r="E376" s="4" t="s">
        <v>239</v>
      </c>
      <c r="F376" s="8" t="n">
        <v>10</v>
      </c>
      <c r="G376" s="8" t="n">
        <v>50</v>
      </c>
      <c r="H376" s="4" t="s">
        <v>275</v>
      </c>
      <c r="I376" s="4"/>
      <c r="J376" s="4"/>
      <c r="K376" s="4"/>
      <c r="L376" s="4"/>
      <c r="M376" s="4" t="str">
        <f aca="false">IF(L376="","",IF(L376&lt;F376,"UNDER low est",IF(L376&gt;G376,"OVER high est","within range")))</f>
        <v/>
      </c>
    </row>
    <row r="377" customFormat="false" ht="15" hidden="false" customHeight="true" outlineLevel="0" collapsed="false">
      <c r="A377" s="4" t="n">
        <v>379</v>
      </c>
      <c r="B377" s="6" t="s">
        <v>16</v>
      </c>
      <c r="C377" s="5" t="s">
        <v>558</v>
      </c>
      <c r="D377" s="5" t="s">
        <v>558</v>
      </c>
      <c r="E377" s="4" t="s">
        <v>239</v>
      </c>
      <c r="F377" s="8" t="n">
        <v>10</v>
      </c>
      <c r="G377" s="8" t="n">
        <v>50</v>
      </c>
      <c r="H377" s="4" t="s">
        <v>243</v>
      </c>
      <c r="I377" s="4"/>
      <c r="J377" s="4"/>
      <c r="K377" s="4"/>
      <c r="L377" s="4"/>
      <c r="M377" s="4" t="str">
        <f aca="false">IF(L377="","",IF(L377&lt;F377,"UNDER low est",IF(L377&gt;G377,"OVER high est","within range")))</f>
        <v/>
      </c>
    </row>
    <row r="378" customFormat="false" ht="15" hidden="false" customHeight="true" outlineLevel="0" collapsed="false">
      <c r="A378" s="4" t="n">
        <v>380</v>
      </c>
      <c r="B378" s="6" t="s">
        <v>16</v>
      </c>
      <c r="C378" s="5" t="s">
        <v>559</v>
      </c>
      <c r="D378" s="5" t="s">
        <v>559</v>
      </c>
      <c r="E378" s="4" t="s">
        <v>239</v>
      </c>
      <c r="F378" s="8" t="n">
        <v>10</v>
      </c>
      <c r="G378" s="8" t="n">
        <v>50</v>
      </c>
      <c r="H378" s="4" t="s">
        <v>243</v>
      </c>
      <c r="I378" s="4"/>
      <c r="J378" s="4"/>
      <c r="K378" s="4"/>
      <c r="L378" s="4"/>
      <c r="M378" s="4" t="str">
        <f aca="false">IF(L378="","",IF(L378&lt;F378,"UNDER low est",IF(L378&gt;G378,"OVER high est","within range")))</f>
        <v/>
      </c>
    </row>
    <row r="379" customFormat="false" ht="15" hidden="false" customHeight="true" outlineLevel="0" collapsed="false">
      <c r="A379" s="4" t="n">
        <v>381</v>
      </c>
      <c r="B379" s="6" t="s">
        <v>16</v>
      </c>
      <c r="C379" s="5" t="s">
        <v>560</v>
      </c>
      <c r="D379" s="5" t="s">
        <v>560</v>
      </c>
      <c r="E379" s="4" t="s">
        <v>239</v>
      </c>
      <c r="F379" s="8" t="n">
        <v>10</v>
      </c>
      <c r="G379" s="8" t="n">
        <v>50</v>
      </c>
      <c r="H379" s="4" t="s">
        <v>243</v>
      </c>
      <c r="I379" s="4"/>
      <c r="J379" s="4"/>
      <c r="K379" s="4"/>
      <c r="L379" s="4"/>
      <c r="M379" s="4" t="str">
        <f aca="false">IF(L379="","",IF(L379&lt;F379,"UNDER low est",IF(L379&gt;G379,"OVER high est","within range")))</f>
        <v/>
      </c>
    </row>
    <row r="380" customFormat="false" ht="23.25" hidden="false" customHeight="true" outlineLevel="0" collapsed="false">
      <c r="A380" s="4" t="n">
        <v>382</v>
      </c>
      <c r="B380" s="6" t="s">
        <v>16</v>
      </c>
      <c r="C380" s="17" t="s">
        <v>241</v>
      </c>
      <c r="D380" s="17" t="s">
        <v>561</v>
      </c>
      <c r="E380" s="4" t="s">
        <v>237</v>
      </c>
      <c r="F380" s="8" t="n">
        <v>10</v>
      </c>
      <c r="G380" s="8" t="n">
        <v>50</v>
      </c>
      <c r="H380" s="4" t="s">
        <v>275</v>
      </c>
      <c r="I380" s="4"/>
      <c r="J380" s="4"/>
      <c r="K380" s="4"/>
      <c r="L380" s="4"/>
      <c r="M380" s="4" t="str">
        <f aca="false">IF(L380="","",IF(L380&lt;F380,"UNDER low est",IF(L380&gt;G380,"OVER high est","within range")))</f>
        <v/>
      </c>
    </row>
    <row r="381" customFormat="false" ht="15" hidden="false" customHeight="true" outlineLevel="0" collapsed="false">
      <c r="A381" s="4" t="n">
        <v>383</v>
      </c>
      <c r="B381" s="6" t="s">
        <v>16</v>
      </c>
      <c r="C381" s="5" t="s">
        <v>562</v>
      </c>
      <c r="D381" s="5" t="s">
        <v>562</v>
      </c>
      <c r="E381" s="4" t="s">
        <v>239</v>
      </c>
      <c r="F381" s="8" t="n">
        <v>10</v>
      </c>
      <c r="G381" s="8" t="n">
        <v>50</v>
      </c>
      <c r="H381" s="4" t="s">
        <v>243</v>
      </c>
      <c r="I381" s="4"/>
      <c r="J381" s="4"/>
      <c r="K381" s="4"/>
      <c r="L381" s="4"/>
      <c r="M381" s="4" t="str">
        <f aca="false">IF(L381="","",IF(L381&lt;F381,"UNDER low est",IF(L381&gt;G381,"OVER high est","within range")))</f>
        <v/>
      </c>
    </row>
    <row r="382" customFormat="false" ht="15" hidden="false" customHeight="true" outlineLevel="0" collapsed="false">
      <c r="A382" s="4" t="n">
        <v>384</v>
      </c>
      <c r="B382" s="6" t="s">
        <v>16</v>
      </c>
      <c r="C382" s="5" t="s">
        <v>563</v>
      </c>
      <c r="D382" s="5" t="s">
        <v>563</v>
      </c>
      <c r="E382" s="4" t="s">
        <v>281</v>
      </c>
      <c r="F382" s="8" t="n">
        <v>10</v>
      </c>
      <c r="G382" s="8" t="n">
        <v>40</v>
      </c>
      <c r="H382" s="4" t="s">
        <v>233</v>
      </c>
      <c r="I382" s="4"/>
      <c r="J382" s="4"/>
      <c r="K382" s="4"/>
      <c r="L382" s="4"/>
      <c r="M382" s="4" t="str">
        <f aca="false">IF(L382="","",IF(L382&lt;F382,"UNDER low est",IF(L382&gt;G382,"OVER high est","within range")))</f>
        <v/>
      </c>
    </row>
    <row r="383" customFormat="false" ht="15" hidden="false" customHeight="true" outlineLevel="0" collapsed="false">
      <c r="A383" s="4" t="n">
        <v>385</v>
      </c>
      <c r="B383" s="6" t="s">
        <v>16</v>
      </c>
      <c r="C383" s="17" t="s">
        <v>241</v>
      </c>
      <c r="D383" s="17" t="s">
        <v>564</v>
      </c>
      <c r="E383" s="4" t="s">
        <v>237</v>
      </c>
      <c r="F383" s="8" t="n">
        <v>15</v>
      </c>
      <c r="G383" s="8" t="n">
        <v>60</v>
      </c>
      <c r="H383" s="4" t="s">
        <v>243</v>
      </c>
      <c r="I383" s="4"/>
      <c r="J383" s="4"/>
      <c r="K383" s="4"/>
      <c r="L383" s="4"/>
      <c r="M383" s="4" t="str">
        <f aca="false">IF(L383="","",IF(L383&lt;F383,"UNDER low est",IF(L383&gt;G383,"OVER high est","within range")))</f>
        <v/>
      </c>
    </row>
    <row r="384" customFormat="false" ht="23.25" hidden="false" customHeight="true" outlineLevel="0" collapsed="false">
      <c r="A384" s="4" t="n">
        <v>386</v>
      </c>
      <c r="B384" s="6" t="s">
        <v>16</v>
      </c>
      <c r="C384" s="17" t="s">
        <v>241</v>
      </c>
      <c r="D384" s="17" t="s">
        <v>565</v>
      </c>
      <c r="E384" s="4" t="s">
        <v>237</v>
      </c>
      <c r="F384" s="8" t="n">
        <v>15</v>
      </c>
      <c r="G384" s="8" t="n">
        <v>60</v>
      </c>
      <c r="H384" s="4" t="s">
        <v>243</v>
      </c>
      <c r="I384" s="4"/>
      <c r="J384" s="4"/>
      <c r="K384" s="4"/>
      <c r="L384" s="4"/>
      <c r="M384" s="4" t="str">
        <f aca="false">IF(L384="","",IF(L384&lt;F384,"UNDER low est",IF(L384&gt;G384,"OVER high est","within range")))</f>
        <v/>
      </c>
    </row>
    <row r="385" customFormat="false" ht="15" hidden="false" customHeight="true" outlineLevel="0" collapsed="false">
      <c r="A385" s="4" t="n">
        <v>387</v>
      </c>
      <c r="B385" s="6" t="s">
        <v>16</v>
      </c>
      <c r="C385" s="5" t="s">
        <v>566</v>
      </c>
      <c r="D385" s="5" t="s">
        <v>566</v>
      </c>
      <c r="E385" s="4" t="s">
        <v>281</v>
      </c>
      <c r="F385" s="8" t="n">
        <v>30</v>
      </c>
      <c r="G385" s="8" t="n">
        <v>150</v>
      </c>
      <c r="H385" s="4" t="s">
        <v>233</v>
      </c>
      <c r="I385" s="4"/>
      <c r="J385" s="4"/>
      <c r="K385" s="4"/>
      <c r="L385" s="4"/>
      <c r="M385" s="4" t="str">
        <f aca="false">IF(L385="","",IF(L385&lt;F385,"UNDER low est",IF(L385&gt;G385,"OVER high est","within range")))</f>
        <v/>
      </c>
    </row>
    <row r="386" customFormat="false" ht="15" hidden="false" customHeight="true" outlineLevel="0" collapsed="false">
      <c r="A386" s="4" t="n">
        <v>388</v>
      </c>
      <c r="B386" s="6" t="s">
        <v>16</v>
      </c>
      <c r="C386" s="5" t="s">
        <v>567</v>
      </c>
      <c r="D386" s="5" t="s">
        <v>567</v>
      </c>
      <c r="E386" s="4" t="s">
        <v>237</v>
      </c>
      <c r="F386" s="8" t="n">
        <v>15</v>
      </c>
      <c r="G386" s="8" t="n">
        <v>60</v>
      </c>
      <c r="H386" s="4" t="s">
        <v>233</v>
      </c>
      <c r="I386" s="4"/>
      <c r="J386" s="4"/>
      <c r="K386" s="4"/>
      <c r="L386" s="4"/>
      <c r="M386" s="4" t="str">
        <f aca="false">IF(L386="","",IF(L386&lt;F386,"UNDER low est",IF(L386&gt;G386,"OVER high est","within range")))</f>
        <v/>
      </c>
    </row>
    <row r="387" customFormat="false" ht="15" hidden="false" customHeight="true" outlineLevel="0" collapsed="false">
      <c r="A387" s="4" t="n">
        <v>389</v>
      </c>
      <c r="B387" s="6" t="s">
        <v>16</v>
      </c>
      <c r="C387" s="17" t="s">
        <v>241</v>
      </c>
      <c r="D387" s="17" t="s">
        <v>568</v>
      </c>
      <c r="E387" s="4" t="s">
        <v>237</v>
      </c>
      <c r="F387" s="8" t="n">
        <v>10</v>
      </c>
      <c r="G387" s="8" t="n">
        <v>40</v>
      </c>
      <c r="H387" s="4" t="s">
        <v>243</v>
      </c>
      <c r="I387" s="4"/>
      <c r="J387" s="4"/>
      <c r="K387" s="4"/>
      <c r="L387" s="4"/>
      <c r="M387" s="4" t="str">
        <f aca="false">IF(L387="","",IF(L387&lt;F387,"UNDER low est",IF(L387&gt;G387,"OVER high est","within range")))</f>
        <v/>
      </c>
    </row>
    <row r="388" customFormat="false" ht="15" hidden="false" customHeight="true" outlineLevel="0" collapsed="false">
      <c r="A388" s="4" t="n">
        <v>390</v>
      </c>
      <c r="B388" s="6" t="s">
        <v>16</v>
      </c>
      <c r="C388" s="17" t="s">
        <v>241</v>
      </c>
      <c r="D388" s="17" t="s">
        <v>569</v>
      </c>
      <c r="E388" s="4" t="s">
        <v>239</v>
      </c>
      <c r="F388" s="8" t="n">
        <v>10</v>
      </c>
      <c r="G388" s="8" t="n">
        <v>50</v>
      </c>
      <c r="H388" s="4" t="s">
        <v>275</v>
      </c>
      <c r="I388" s="4"/>
      <c r="J388" s="4"/>
      <c r="K388" s="4"/>
      <c r="L388" s="4"/>
      <c r="M388" s="4" t="str">
        <f aca="false">IF(L388="","",IF(L388&lt;F388,"UNDER low est",IF(L388&gt;G388,"OVER high est","within range")))</f>
        <v/>
      </c>
    </row>
    <row r="389" customFormat="false" ht="15" hidden="false" customHeight="true" outlineLevel="0" collapsed="false">
      <c r="A389" s="4" t="n">
        <v>391</v>
      </c>
      <c r="B389" s="6" t="s">
        <v>16</v>
      </c>
      <c r="C389" s="5" t="s">
        <v>570</v>
      </c>
      <c r="D389" s="5" t="s">
        <v>570</v>
      </c>
      <c r="E389" s="4" t="s">
        <v>237</v>
      </c>
      <c r="F389" s="8" t="n">
        <v>10</v>
      </c>
      <c r="G389" s="8" t="n">
        <v>40</v>
      </c>
      <c r="H389" s="4" t="s">
        <v>233</v>
      </c>
      <c r="I389" s="4"/>
      <c r="J389" s="4"/>
      <c r="K389" s="4"/>
      <c r="L389" s="4"/>
      <c r="M389" s="4" t="str">
        <f aca="false">IF(L389="","",IF(L389&lt;F389,"UNDER low est",IF(L389&gt;G389,"OVER high est","within range")))</f>
        <v/>
      </c>
    </row>
    <row r="390" customFormat="false" ht="15" hidden="false" customHeight="true" outlineLevel="0" collapsed="false">
      <c r="A390" s="4" t="n">
        <v>392</v>
      </c>
      <c r="B390" s="6" t="s">
        <v>16</v>
      </c>
      <c r="C390" s="5" t="s">
        <v>571</v>
      </c>
      <c r="D390" s="5" t="s">
        <v>571</v>
      </c>
      <c r="E390" s="4" t="s">
        <v>237</v>
      </c>
      <c r="F390" s="8" t="n">
        <v>10</v>
      </c>
      <c r="G390" s="8" t="n">
        <v>50</v>
      </c>
      <c r="H390" s="4" t="s">
        <v>243</v>
      </c>
      <c r="I390" s="4"/>
      <c r="J390" s="4"/>
      <c r="K390" s="4"/>
      <c r="L390" s="4"/>
      <c r="M390" s="4" t="str">
        <f aca="false">IF(L390="","",IF(L390&lt;F390,"UNDER low est",IF(L390&gt;G390,"OVER high est","within range")))</f>
        <v/>
      </c>
    </row>
    <row r="391" customFormat="false" ht="15" hidden="false" customHeight="true" outlineLevel="0" collapsed="false">
      <c r="A391" s="4" t="n">
        <v>393</v>
      </c>
      <c r="B391" s="6" t="s">
        <v>16</v>
      </c>
      <c r="C391" s="5" t="s">
        <v>572</v>
      </c>
      <c r="D391" s="5" t="s">
        <v>572</v>
      </c>
      <c r="E391" s="4" t="s">
        <v>239</v>
      </c>
      <c r="F391" s="8" t="n">
        <v>10</v>
      </c>
      <c r="G391" s="8" t="n">
        <v>50</v>
      </c>
      <c r="H391" s="4" t="s">
        <v>243</v>
      </c>
      <c r="I391" s="4"/>
      <c r="J391" s="4"/>
      <c r="K391" s="4"/>
      <c r="L391" s="4"/>
      <c r="M391" s="4" t="str">
        <f aca="false">IF(L391="","",IF(L391&lt;F391,"UNDER low est",IF(L391&gt;G391,"OVER high est","within range")))</f>
        <v/>
      </c>
    </row>
    <row r="392" customFormat="false" ht="15" hidden="false" customHeight="true" outlineLevel="0" collapsed="false">
      <c r="A392" s="4" t="n">
        <v>394</v>
      </c>
      <c r="B392" s="6" t="s">
        <v>16</v>
      </c>
      <c r="C392" s="5" t="s">
        <v>573</v>
      </c>
      <c r="D392" s="5" t="s">
        <v>573</v>
      </c>
      <c r="E392" s="4" t="s">
        <v>239</v>
      </c>
      <c r="F392" s="8" t="n">
        <v>10</v>
      </c>
      <c r="G392" s="8" t="n">
        <v>50</v>
      </c>
      <c r="H392" s="4" t="s">
        <v>243</v>
      </c>
      <c r="I392" s="4"/>
      <c r="J392" s="4"/>
      <c r="K392" s="4"/>
      <c r="L392" s="4"/>
      <c r="M392" s="4" t="str">
        <f aca="false">IF(L392="","",IF(L392&lt;F392,"UNDER low est",IF(L392&gt;G392,"OVER high est","within range")))</f>
        <v/>
      </c>
    </row>
    <row r="393" customFormat="false" ht="15" hidden="false" customHeight="true" outlineLevel="0" collapsed="false">
      <c r="A393" s="4" t="n">
        <v>395</v>
      </c>
      <c r="B393" s="6" t="s">
        <v>16</v>
      </c>
      <c r="C393" s="5" t="s">
        <v>574</v>
      </c>
      <c r="D393" s="5" t="s">
        <v>574</v>
      </c>
      <c r="E393" s="4" t="s">
        <v>239</v>
      </c>
      <c r="F393" s="8" t="n">
        <v>10</v>
      </c>
      <c r="G393" s="8" t="n">
        <v>50</v>
      </c>
      <c r="H393" s="4" t="s">
        <v>243</v>
      </c>
      <c r="I393" s="4"/>
      <c r="J393" s="4"/>
      <c r="K393" s="4"/>
      <c r="L393" s="4"/>
      <c r="M393" s="4" t="str">
        <f aca="false">IF(L393="","",IF(L393&lt;F393,"UNDER low est",IF(L393&gt;G393,"OVER high est","within range")))</f>
        <v/>
      </c>
    </row>
    <row r="394" customFormat="false" ht="15" hidden="false" customHeight="true" outlineLevel="0" collapsed="false">
      <c r="A394" s="4" t="n">
        <v>396</v>
      </c>
      <c r="B394" s="6" t="s">
        <v>16</v>
      </c>
      <c r="C394" s="5" t="s">
        <v>575</v>
      </c>
      <c r="D394" s="5" t="s">
        <v>575</v>
      </c>
      <c r="E394" s="4" t="s">
        <v>239</v>
      </c>
      <c r="F394" s="8" t="n">
        <v>10</v>
      </c>
      <c r="G394" s="8" t="n">
        <v>50</v>
      </c>
      <c r="H394" s="4" t="s">
        <v>243</v>
      </c>
      <c r="I394" s="4"/>
      <c r="J394" s="4"/>
      <c r="K394" s="4"/>
      <c r="L394" s="4"/>
      <c r="M394" s="4" t="str">
        <f aca="false">IF(L394="","",IF(L394&lt;F394,"UNDER low est",IF(L394&gt;G394,"OVER high est","within range")))</f>
        <v/>
      </c>
    </row>
    <row r="395" customFormat="false" ht="15" hidden="false" customHeight="true" outlineLevel="0" collapsed="false">
      <c r="A395" s="4" t="n">
        <v>397</v>
      </c>
      <c r="B395" s="6" t="s">
        <v>16</v>
      </c>
      <c r="C395" s="5" t="s">
        <v>576</v>
      </c>
      <c r="D395" s="5" t="s">
        <v>576</v>
      </c>
      <c r="E395" s="4" t="s">
        <v>239</v>
      </c>
      <c r="F395" s="8" t="n">
        <v>10</v>
      </c>
      <c r="G395" s="8" t="n">
        <v>50</v>
      </c>
      <c r="H395" s="4" t="s">
        <v>243</v>
      </c>
      <c r="I395" s="4"/>
      <c r="J395" s="4"/>
      <c r="K395" s="4"/>
      <c r="L395" s="4"/>
      <c r="M395" s="4" t="str">
        <f aca="false">IF(L395="","",IF(L395&lt;F395,"UNDER low est",IF(L395&gt;G395,"OVER high est","within range")))</f>
        <v/>
      </c>
    </row>
    <row r="396" customFormat="false" ht="15" hidden="false" customHeight="true" outlineLevel="0" collapsed="false">
      <c r="A396" s="4" t="n">
        <v>398</v>
      </c>
      <c r="B396" s="6" t="s">
        <v>16</v>
      </c>
      <c r="C396" s="17" t="s">
        <v>241</v>
      </c>
      <c r="D396" s="17" t="s">
        <v>577</v>
      </c>
      <c r="E396" s="4" t="s">
        <v>299</v>
      </c>
      <c r="F396" s="8" t="n">
        <v>40</v>
      </c>
      <c r="G396" s="8" t="n">
        <v>150</v>
      </c>
      <c r="H396" s="4" t="s">
        <v>243</v>
      </c>
      <c r="I396" s="4"/>
      <c r="J396" s="4"/>
      <c r="K396" s="4"/>
      <c r="L396" s="4"/>
      <c r="M396" s="4" t="str">
        <f aca="false">IF(L396="","",IF(L396&lt;F396,"UNDER low est",IF(L396&gt;G396,"OVER high est","within range")))</f>
        <v/>
      </c>
    </row>
    <row r="397" customFormat="false" ht="15" hidden="false" customHeight="true" outlineLevel="0" collapsed="false">
      <c r="A397" s="4" t="n">
        <v>399</v>
      </c>
      <c r="B397" s="6" t="s">
        <v>16</v>
      </c>
      <c r="C397" s="5" t="s">
        <v>578</v>
      </c>
      <c r="D397" s="5" t="s">
        <v>578</v>
      </c>
      <c r="E397" s="4" t="s">
        <v>237</v>
      </c>
      <c r="F397" s="8" t="n">
        <v>5</v>
      </c>
      <c r="G397" s="8" t="n">
        <v>25</v>
      </c>
      <c r="H397" s="4" t="s">
        <v>233</v>
      </c>
      <c r="I397" s="4"/>
      <c r="J397" s="4"/>
      <c r="K397" s="4"/>
      <c r="L397" s="4"/>
      <c r="M397" s="4" t="str">
        <f aca="false">IF(L397="","",IF(L397&lt;F397,"UNDER low est",IF(L397&gt;G397,"OVER high est","within range")))</f>
        <v/>
      </c>
    </row>
    <row r="398" customFormat="false" ht="15" hidden="false" customHeight="true" outlineLevel="0" collapsed="false">
      <c r="A398" s="4" t="n">
        <v>400</v>
      </c>
      <c r="B398" s="6" t="s">
        <v>16</v>
      </c>
      <c r="C398" s="17" t="s">
        <v>241</v>
      </c>
      <c r="D398" s="17" t="s">
        <v>579</v>
      </c>
      <c r="E398" s="4" t="s">
        <v>239</v>
      </c>
      <c r="F398" s="8" t="n">
        <v>10</v>
      </c>
      <c r="G398" s="8" t="n">
        <v>50</v>
      </c>
      <c r="H398" s="4" t="s">
        <v>275</v>
      </c>
      <c r="I398" s="4"/>
      <c r="J398" s="4"/>
      <c r="K398" s="4"/>
      <c r="L398" s="4"/>
      <c r="M398" s="4" t="str">
        <f aca="false">IF(L398="","",IF(L398&lt;F398,"UNDER low est",IF(L398&gt;G398,"OVER high est","within range")))</f>
        <v/>
      </c>
    </row>
    <row r="399" customFormat="false" ht="15" hidden="false" customHeight="true" outlineLevel="0" collapsed="false">
      <c r="A399" s="4" t="n">
        <v>401</v>
      </c>
      <c r="B399" s="6" t="s">
        <v>16</v>
      </c>
      <c r="C399" s="17" t="s">
        <v>241</v>
      </c>
      <c r="D399" s="17" t="s">
        <v>580</v>
      </c>
      <c r="E399" s="4" t="s">
        <v>239</v>
      </c>
      <c r="F399" s="8" t="n">
        <v>10</v>
      </c>
      <c r="G399" s="8" t="n">
        <v>50</v>
      </c>
      <c r="H399" s="4" t="s">
        <v>275</v>
      </c>
      <c r="I399" s="4"/>
      <c r="J399" s="4"/>
      <c r="K399" s="4"/>
      <c r="L399" s="4"/>
      <c r="M399" s="4" t="str">
        <f aca="false">IF(L399="","",IF(L399&lt;F399,"UNDER low est",IF(L399&gt;G399,"OVER high est","within range")))</f>
        <v/>
      </c>
    </row>
    <row r="400" customFormat="false" ht="15" hidden="false" customHeight="true" outlineLevel="0" collapsed="false">
      <c r="A400" s="4" t="n">
        <v>402</v>
      </c>
      <c r="B400" s="6" t="s">
        <v>16</v>
      </c>
      <c r="C400" s="5" t="s">
        <v>581</v>
      </c>
      <c r="D400" s="5" t="s">
        <v>581</v>
      </c>
      <c r="E400" s="4" t="s">
        <v>472</v>
      </c>
      <c r="F400" s="8" t="n">
        <v>10</v>
      </c>
      <c r="G400" s="8" t="n">
        <v>50</v>
      </c>
      <c r="H400" s="4" t="s">
        <v>243</v>
      </c>
      <c r="I400" s="4"/>
      <c r="J400" s="4"/>
      <c r="K400" s="4"/>
      <c r="L400" s="4"/>
      <c r="M400" s="4" t="str">
        <f aca="false">IF(L400="","",IF(L400&lt;F400,"UNDER low est",IF(L400&gt;G400,"OVER high est","within range")))</f>
        <v/>
      </c>
    </row>
    <row r="401" customFormat="false" ht="15" hidden="false" customHeight="true" outlineLevel="0" collapsed="false">
      <c r="A401" s="4" t="n">
        <v>403</v>
      </c>
      <c r="B401" s="6" t="s">
        <v>16</v>
      </c>
      <c r="C401" s="5" t="s">
        <v>582</v>
      </c>
      <c r="D401" s="5" t="s">
        <v>582</v>
      </c>
      <c r="E401" s="4" t="s">
        <v>236</v>
      </c>
      <c r="F401" s="8" t="n">
        <v>50</v>
      </c>
      <c r="G401" s="8" t="n">
        <v>200</v>
      </c>
      <c r="H401" s="4" t="s">
        <v>233</v>
      </c>
      <c r="I401" s="4"/>
      <c r="J401" s="4"/>
      <c r="K401" s="4"/>
      <c r="L401" s="4"/>
      <c r="M401" s="4" t="str">
        <f aca="false">IF(L401="","",IF(L401&lt;F401,"UNDER low est",IF(L401&gt;G401,"OVER high est","within range")))</f>
        <v/>
      </c>
    </row>
    <row r="402" customFormat="false" ht="23.25" hidden="false" customHeight="true" outlineLevel="0" collapsed="false">
      <c r="A402" s="4" t="n">
        <v>404</v>
      </c>
      <c r="B402" s="6" t="s">
        <v>16</v>
      </c>
      <c r="C402" s="17" t="s">
        <v>241</v>
      </c>
      <c r="D402" s="17" t="s">
        <v>583</v>
      </c>
      <c r="E402" s="4" t="s">
        <v>239</v>
      </c>
      <c r="F402" s="8" t="n">
        <v>40</v>
      </c>
      <c r="G402" s="8" t="n">
        <v>150</v>
      </c>
      <c r="H402" s="4" t="s">
        <v>243</v>
      </c>
      <c r="I402" s="4"/>
      <c r="J402" s="4"/>
      <c r="K402" s="4"/>
      <c r="L402" s="4"/>
      <c r="M402" s="4" t="str">
        <f aca="false">IF(L402="","",IF(L402&lt;F402,"UNDER low est",IF(L402&gt;G402,"OVER high est","within range")))</f>
        <v/>
      </c>
    </row>
    <row r="403" customFormat="false" ht="15" hidden="false" customHeight="true" outlineLevel="0" collapsed="false">
      <c r="A403" s="4" t="n">
        <v>405</v>
      </c>
      <c r="B403" s="6" t="s">
        <v>16</v>
      </c>
      <c r="C403" s="5" t="s">
        <v>584</v>
      </c>
      <c r="D403" s="5" t="s">
        <v>584</v>
      </c>
      <c r="E403" s="4" t="s">
        <v>239</v>
      </c>
      <c r="F403" s="8" t="n">
        <v>20</v>
      </c>
      <c r="G403" s="8" t="n">
        <v>80</v>
      </c>
      <c r="H403" s="4" t="s">
        <v>233</v>
      </c>
      <c r="I403" s="4"/>
      <c r="J403" s="4"/>
      <c r="K403" s="4"/>
      <c r="L403" s="4"/>
      <c r="M403" s="4" t="str">
        <f aca="false">IF(L403="","",IF(L403&lt;F403,"UNDER low est",IF(L403&gt;G403,"OVER high est","within range")))</f>
        <v/>
      </c>
    </row>
    <row r="404" customFormat="false" ht="15" hidden="false" customHeight="true" outlineLevel="0" collapsed="false">
      <c r="A404" s="4" t="n">
        <v>406</v>
      </c>
      <c r="B404" s="6" t="s">
        <v>16</v>
      </c>
      <c r="C404" s="17" t="s">
        <v>241</v>
      </c>
      <c r="D404" s="17" t="s">
        <v>585</v>
      </c>
      <c r="E404" s="4" t="s">
        <v>274</v>
      </c>
      <c r="F404" s="8" t="n">
        <v>20</v>
      </c>
      <c r="G404" s="8" t="n">
        <v>80</v>
      </c>
      <c r="H404" s="4" t="s">
        <v>243</v>
      </c>
      <c r="I404" s="4"/>
      <c r="J404" s="4"/>
      <c r="K404" s="4"/>
      <c r="L404" s="4"/>
      <c r="M404" s="4" t="str">
        <f aca="false">IF(L404="","",IF(L404&lt;F404,"UNDER low est",IF(L404&gt;G404,"OVER high est","within range")))</f>
        <v/>
      </c>
    </row>
    <row r="405" customFormat="false" ht="15" hidden="false" customHeight="true" outlineLevel="0" collapsed="false">
      <c r="A405" s="4" t="n">
        <v>407</v>
      </c>
      <c r="B405" s="6" t="s">
        <v>16</v>
      </c>
      <c r="C405" s="17" t="s">
        <v>241</v>
      </c>
      <c r="D405" s="17" t="s">
        <v>586</v>
      </c>
      <c r="E405" s="4" t="s">
        <v>237</v>
      </c>
      <c r="F405" s="8" t="n">
        <v>40</v>
      </c>
      <c r="G405" s="8" t="n">
        <v>120</v>
      </c>
      <c r="H405" s="4" t="s">
        <v>243</v>
      </c>
      <c r="I405" s="4"/>
      <c r="J405" s="4"/>
      <c r="K405" s="4"/>
      <c r="L405" s="4"/>
      <c r="M405" s="4" t="str">
        <f aca="false">IF(L405="","",IF(L405&lt;F405,"UNDER low est",IF(L405&gt;G405,"OVER high est","within range")))</f>
        <v/>
      </c>
    </row>
    <row r="406" customFormat="false" ht="15" hidden="false" customHeight="true" outlineLevel="0" collapsed="false">
      <c r="A406" s="4" t="n">
        <v>408</v>
      </c>
      <c r="B406" s="6" t="s">
        <v>16</v>
      </c>
      <c r="C406" s="5" t="s">
        <v>587</v>
      </c>
      <c r="D406" s="5" t="s">
        <v>587</v>
      </c>
      <c r="E406" s="4" t="s">
        <v>239</v>
      </c>
      <c r="F406" s="8" t="n">
        <v>10</v>
      </c>
      <c r="G406" s="8" t="n">
        <v>50</v>
      </c>
      <c r="H406" s="4" t="s">
        <v>243</v>
      </c>
      <c r="I406" s="4"/>
      <c r="J406" s="4"/>
      <c r="K406" s="4"/>
      <c r="L406" s="4"/>
      <c r="M406" s="4" t="str">
        <f aca="false">IF(L406="","",IF(L406&lt;F406,"UNDER low est",IF(L406&gt;G406,"OVER high est","within range")))</f>
        <v/>
      </c>
    </row>
    <row r="407" customFormat="false" ht="23.25" hidden="false" customHeight="true" outlineLevel="0" collapsed="false">
      <c r="A407" s="4" t="n">
        <v>409</v>
      </c>
      <c r="B407" s="6" t="s">
        <v>16</v>
      </c>
      <c r="C407" s="17" t="s">
        <v>241</v>
      </c>
      <c r="D407" s="17" t="s">
        <v>588</v>
      </c>
      <c r="E407" s="4" t="s">
        <v>239</v>
      </c>
      <c r="F407" s="8" t="n">
        <v>10</v>
      </c>
      <c r="G407" s="8" t="n">
        <v>50</v>
      </c>
      <c r="H407" s="4" t="s">
        <v>275</v>
      </c>
      <c r="I407" s="4"/>
      <c r="J407" s="4"/>
      <c r="K407" s="4"/>
      <c r="L407" s="4"/>
      <c r="M407" s="4" t="str">
        <f aca="false">IF(L407="","",IF(L407&lt;F407,"UNDER low est",IF(L407&gt;G407,"OVER high est","within range")))</f>
        <v/>
      </c>
    </row>
    <row r="408" customFormat="false" ht="15" hidden="false" customHeight="true" outlineLevel="0" collapsed="false">
      <c r="A408" s="4" t="n">
        <v>410</v>
      </c>
      <c r="B408" s="6" t="s">
        <v>16</v>
      </c>
      <c r="C408" s="5" t="s">
        <v>589</v>
      </c>
      <c r="D408" s="5" t="s">
        <v>589</v>
      </c>
      <c r="E408" s="4" t="s">
        <v>299</v>
      </c>
      <c r="F408" s="8" t="n">
        <v>10</v>
      </c>
      <c r="G408" s="8" t="n">
        <v>40</v>
      </c>
      <c r="H408" s="4" t="s">
        <v>233</v>
      </c>
      <c r="I408" s="4"/>
      <c r="J408" s="4"/>
      <c r="K408" s="4"/>
      <c r="L408" s="4"/>
      <c r="M408" s="4" t="str">
        <f aca="false">IF(L408="","",IF(L408&lt;F408,"UNDER low est",IF(L408&gt;G408,"OVER high est","within range")))</f>
        <v/>
      </c>
    </row>
    <row r="409" customFormat="false" ht="15" hidden="false" customHeight="true" outlineLevel="0" collapsed="false">
      <c r="A409" s="4" t="n">
        <v>411</v>
      </c>
      <c r="B409" s="6" t="s">
        <v>16</v>
      </c>
      <c r="C409" s="17" t="s">
        <v>241</v>
      </c>
      <c r="D409" s="17" t="s">
        <v>590</v>
      </c>
      <c r="E409" s="4" t="s">
        <v>239</v>
      </c>
      <c r="F409" s="8" t="n">
        <v>10</v>
      </c>
      <c r="G409" s="8" t="n">
        <v>50</v>
      </c>
      <c r="H409" s="4" t="s">
        <v>275</v>
      </c>
      <c r="I409" s="4"/>
      <c r="J409" s="4"/>
      <c r="K409" s="4"/>
      <c r="L409" s="4"/>
      <c r="M409" s="4" t="str">
        <f aca="false">IF(L409="","",IF(L409&lt;F409,"UNDER low est",IF(L409&gt;G409,"OVER high est","within range")))</f>
        <v/>
      </c>
    </row>
    <row r="410" customFormat="false" ht="15" hidden="false" customHeight="true" outlineLevel="0" collapsed="false">
      <c r="A410" s="4" t="n">
        <v>412</v>
      </c>
      <c r="B410" s="6" t="s">
        <v>16</v>
      </c>
      <c r="C410" s="5" t="s">
        <v>591</v>
      </c>
      <c r="D410" s="5" t="s">
        <v>591</v>
      </c>
      <c r="E410" s="4" t="s">
        <v>239</v>
      </c>
      <c r="F410" s="8" t="n">
        <v>40</v>
      </c>
      <c r="G410" s="8" t="n">
        <v>150</v>
      </c>
      <c r="H410" s="4" t="s">
        <v>233</v>
      </c>
      <c r="I410" s="4"/>
      <c r="J410" s="4"/>
      <c r="K410" s="4"/>
      <c r="L410" s="4"/>
      <c r="M410" s="4" t="str">
        <f aca="false">IF(L410="","",IF(L410&lt;F410,"UNDER low est",IF(L410&gt;G410,"OVER high est","within range")))</f>
        <v/>
      </c>
    </row>
    <row r="411" customFormat="false" ht="15" hidden="false" customHeight="true" outlineLevel="0" collapsed="false">
      <c r="A411" s="4" t="n">
        <v>413</v>
      </c>
      <c r="B411" s="6" t="s">
        <v>16</v>
      </c>
      <c r="C411" s="5" t="s">
        <v>592</v>
      </c>
      <c r="D411" s="5" t="s">
        <v>592</v>
      </c>
      <c r="E411" s="4" t="s">
        <v>239</v>
      </c>
      <c r="F411" s="8" t="n">
        <v>10</v>
      </c>
      <c r="G411" s="8" t="n">
        <v>50</v>
      </c>
      <c r="H411" s="4" t="s">
        <v>243</v>
      </c>
      <c r="I411" s="4"/>
      <c r="J411" s="4"/>
      <c r="K411" s="4"/>
      <c r="L411" s="4"/>
      <c r="M411" s="4" t="str">
        <f aca="false">IF(L411="","",IF(L411&lt;F411,"UNDER low est",IF(L411&gt;G411,"OVER high est","within range")))</f>
        <v/>
      </c>
    </row>
    <row r="412" customFormat="false" ht="15" hidden="false" customHeight="true" outlineLevel="0" collapsed="false">
      <c r="A412" s="4" t="n">
        <v>414</v>
      </c>
      <c r="B412" s="6" t="s">
        <v>16</v>
      </c>
      <c r="C412" s="5" t="s">
        <v>593</v>
      </c>
      <c r="D412" s="5" t="s">
        <v>593</v>
      </c>
      <c r="E412" s="4" t="s">
        <v>59</v>
      </c>
      <c r="F412" s="8" t="n">
        <v>40</v>
      </c>
      <c r="G412" s="8" t="n">
        <v>120</v>
      </c>
      <c r="H412" s="4" t="s">
        <v>233</v>
      </c>
      <c r="I412" s="4"/>
      <c r="J412" s="4"/>
      <c r="K412" s="4"/>
      <c r="L412" s="4"/>
      <c r="M412" s="4" t="str">
        <f aca="false">IF(L412="","",IF(L412&lt;F412,"UNDER low est",IF(L412&gt;G412,"OVER high est","within range")))</f>
        <v/>
      </c>
    </row>
    <row r="413" customFormat="false" ht="15" hidden="false" customHeight="true" outlineLevel="0" collapsed="false">
      <c r="A413" s="4" t="n">
        <v>415</v>
      </c>
      <c r="B413" s="6" t="s">
        <v>16</v>
      </c>
      <c r="C413" s="5" t="s">
        <v>594</v>
      </c>
      <c r="D413" s="5" t="s">
        <v>594</v>
      </c>
      <c r="E413" s="4" t="s">
        <v>239</v>
      </c>
      <c r="F413" s="8" t="n">
        <v>25</v>
      </c>
      <c r="G413" s="8" t="n">
        <v>100</v>
      </c>
      <c r="H413" s="4" t="s">
        <v>233</v>
      </c>
      <c r="I413" s="4"/>
      <c r="J413" s="4"/>
      <c r="K413" s="4"/>
      <c r="L413" s="4"/>
      <c r="M413" s="4" t="str">
        <f aca="false">IF(L413="","",IF(L413&lt;F413,"UNDER low est",IF(L413&gt;G413,"OVER high est","within range")))</f>
        <v/>
      </c>
    </row>
    <row r="414" customFormat="false" ht="15" hidden="false" customHeight="true" outlineLevel="0" collapsed="false">
      <c r="A414" s="4" t="n">
        <v>416</v>
      </c>
      <c r="B414" s="6" t="s">
        <v>16</v>
      </c>
      <c r="C414" s="5" t="s">
        <v>595</v>
      </c>
      <c r="D414" s="5" t="s">
        <v>595</v>
      </c>
      <c r="E414" s="4" t="s">
        <v>239</v>
      </c>
      <c r="F414" s="8" t="n">
        <v>10</v>
      </c>
      <c r="G414" s="8" t="n">
        <v>50</v>
      </c>
      <c r="H414" s="4" t="s">
        <v>243</v>
      </c>
      <c r="I414" s="4"/>
      <c r="J414" s="4"/>
      <c r="K414" s="4"/>
      <c r="L414" s="4"/>
      <c r="M414" s="4" t="str">
        <f aca="false">IF(L414="","",IF(L414&lt;F414,"UNDER low est",IF(L414&gt;G414,"OVER high est","within range")))</f>
        <v/>
      </c>
    </row>
    <row r="415" customFormat="false" ht="15" hidden="false" customHeight="true" outlineLevel="0" collapsed="false">
      <c r="A415" s="4" t="n">
        <v>417</v>
      </c>
      <c r="B415" s="6" t="s">
        <v>16</v>
      </c>
      <c r="C415" s="5" t="s">
        <v>596</v>
      </c>
      <c r="D415" s="5" t="s">
        <v>596</v>
      </c>
      <c r="E415" s="4" t="s">
        <v>239</v>
      </c>
      <c r="F415" s="8" t="n">
        <v>10</v>
      </c>
      <c r="G415" s="8" t="n">
        <v>50</v>
      </c>
      <c r="H415" s="4" t="s">
        <v>243</v>
      </c>
      <c r="I415" s="4"/>
      <c r="J415" s="4"/>
      <c r="K415" s="4"/>
      <c r="L415" s="4"/>
      <c r="M415" s="4" t="str">
        <f aca="false">IF(L415="","",IF(L415&lt;F415,"UNDER low est",IF(L415&gt;G415,"OVER high est","within range")))</f>
        <v/>
      </c>
    </row>
    <row r="416" customFormat="false" ht="15" hidden="false" customHeight="true" outlineLevel="0" collapsed="false">
      <c r="A416" s="4" t="n">
        <v>418</v>
      </c>
      <c r="B416" s="6" t="s">
        <v>16</v>
      </c>
      <c r="C416" s="17" t="s">
        <v>241</v>
      </c>
      <c r="D416" s="17" t="s">
        <v>597</v>
      </c>
      <c r="E416" s="4" t="s">
        <v>59</v>
      </c>
      <c r="F416" s="8" t="n">
        <v>40</v>
      </c>
      <c r="G416" s="8" t="n">
        <v>150</v>
      </c>
      <c r="H416" s="4" t="s">
        <v>243</v>
      </c>
      <c r="I416" s="4"/>
      <c r="J416" s="4"/>
      <c r="K416" s="4"/>
      <c r="L416" s="4"/>
      <c r="M416" s="4" t="str">
        <f aca="false">IF(L416="","",IF(L416&lt;F416,"UNDER low est",IF(L416&gt;G416,"OVER high est","within range")))</f>
        <v/>
      </c>
    </row>
    <row r="417" customFormat="false" ht="15" hidden="false" customHeight="true" outlineLevel="0" collapsed="false">
      <c r="A417" s="4" t="n">
        <v>419</v>
      </c>
      <c r="B417" s="6" t="s">
        <v>16</v>
      </c>
      <c r="C417" s="5" t="s">
        <v>598</v>
      </c>
      <c r="D417" s="5" t="s">
        <v>598</v>
      </c>
      <c r="E417" s="4" t="s">
        <v>239</v>
      </c>
      <c r="F417" s="8" t="n">
        <v>20</v>
      </c>
      <c r="G417" s="8" t="n">
        <v>80</v>
      </c>
      <c r="H417" s="4" t="s">
        <v>233</v>
      </c>
      <c r="I417" s="4"/>
      <c r="J417" s="4"/>
      <c r="K417" s="4"/>
      <c r="L417" s="4"/>
      <c r="M417" s="4" t="str">
        <f aca="false">IF(L417="","",IF(L417&lt;F417,"UNDER low est",IF(L417&gt;G417,"OVER high est","within range")))</f>
        <v/>
      </c>
    </row>
    <row r="418" customFormat="false" ht="15" hidden="false" customHeight="true" outlineLevel="0" collapsed="false">
      <c r="A418" s="4" t="n">
        <v>420</v>
      </c>
      <c r="B418" s="6" t="s">
        <v>16</v>
      </c>
      <c r="C418" s="17" t="s">
        <v>241</v>
      </c>
      <c r="D418" s="17" t="s">
        <v>599</v>
      </c>
      <c r="E418" s="4" t="s">
        <v>299</v>
      </c>
      <c r="F418" s="8" t="n">
        <v>15</v>
      </c>
      <c r="G418" s="8" t="n">
        <v>60</v>
      </c>
      <c r="H418" s="4" t="s">
        <v>243</v>
      </c>
      <c r="I418" s="4"/>
      <c r="J418" s="4"/>
      <c r="K418" s="4"/>
      <c r="L418" s="4"/>
      <c r="M418" s="4" t="str">
        <f aca="false">IF(L418="","",IF(L418&lt;F418,"UNDER low est",IF(L418&gt;G418,"OVER high est","within range")))</f>
        <v/>
      </c>
    </row>
    <row r="419" customFormat="false" ht="15" hidden="false" customHeight="true" outlineLevel="0" collapsed="false">
      <c r="A419" s="4" t="n">
        <v>421</v>
      </c>
      <c r="B419" s="6" t="s">
        <v>16</v>
      </c>
      <c r="C419" s="17" t="s">
        <v>241</v>
      </c>
      <c r="D419" s="17" t="s">
        <v>600</v>
      </c>
      <c r="E419" s="4" t="s">
        <v>239</v>
      </c>
      <c r="F419" s="8" t="n">
        <v>10</v>
      </c>
      <c r="G419" s="8" t="n">
        <v>50</v>
      </c>
      <c r="H419" s="4" t="s">
        <v>275</v>
      </c>
      <c r="I419" s="4"/>
      <c r="J419" s="4"/>
      <c r="K419" s="4"/>
      <c r="L419" s="4"/>
      <c r="M419" s="4" t="str">
        <f aca="false">IF(L419="","",IF(L419&lt;F419,"UNDER low est",IF(L419&gt;G419,"OVER high est","within range")))</f>
        <v/>
      </c>
    </row>
    <row r="420" customFormat="false" ht="15" hidden="false" customHeight="true" outlineLevel="0" collapsed="false">
      <c r="A420" s="4" t="n">
        <v>422</v>
      </c>
      <c r="B420" s="6" t="s">
        <v>16</v>
      </c>
      <c r="C420" s="5" t="s">
        <v>601</v>
      </c>
      <c r="D420" s="5" t="s">
        <v>601</v>
      </c>
      <c r="E420" s="4" t="s">
        <v>237</v>
      </c>
      <c r="F420" s="8" t="n">
        <v>10</v>
      </c>
      <c r="G420" s="8" t="n">
        <v>40</v>
      </c>
      <c r="H420" s="4" t="s">
        <v>233</v>
      </c>
      <c r="I420" s="4"/>
      <c r="J420" s="4"/>
      <c r="K420" s="4"/>
      <c r="L420" s="4"/>
      <c r="M420" s="4" t="str">
        <f aca="false">IF(L420="","",IF(L420&lt;F420,"UNDER low est",IF(L420&gt;G420,"OVER high est","within range")))</f>
        <v/>
      </c>
    </row>
    <row r="421" customFormat="false" ht="15" hidden="false" customHeight="true" outlineLevel="0" collapsed="false">
      <c r="A421" s="4" t="n">
        <v>423</v>
      </c>
      <c r="B421" s="6" t="s">
        <v>16</v>
      </c>
      <c r="C421" s="5" t="s">
        <v>602</v>
      </c>
      <c r="D421" s="5" t="s">
        <v>602</v>
      </c>
      <c r="E421" s="4" t="s">
        <v>239</v>
      </c>
      <c r="F421" s="8" t="n">
        <v>10</v>
      </c>
      <c r="G421" s="8" t="n">
        <v>50</v>
      </c>
      <c r="H421" s="4" t="s">
        <v>243</v>
      </c>
      <c r="I421" s="4"/>
      <c r="J421" s="4"/>
      <c r="K421" s="4"/>
      <c r="L421" s="4"/>
      <c r="M421" s="4" t="str">
        <f aca="false">IF(L421="","",IF(L421&lt;F421,"UNDER low est",IF(L421&gt;G421,"OVER high est","within range")))</f>
        <v/>
      </c>
    </row>
    <row r="422" customFormat="false" ht="15" hidden="false" customHeight="true" outlineLevel="0" collapsed="false">
      <c r="A422" s="4" t="n">
        <v>424</v>
      </c>
      <c r="B422" s="6" t="s">
        <v>16</v>
      </c>
      <c r="C422" s="17" t="s">
        <v>241</v>
      </c>
      <c r="D422" s="17" t="s">
        <v>603</v>
      </c>
      <c r="E422" s="4" t="s">
        <v>265</v>
      </c>
      <c r="F422" s="8" t="n">
        <v>10</v>
      </c>
      <c r="G422" s="8" t="n">
        <v>50</v>
      </c>
      <c r="H422" s="4" t="s">
        <v>275</v>
      </c>
      <c r="I422" s="4"/>
      <c r="J422" s="4"/>
      <c r="K422" s="4"/>
      <c r="L422" s="4"/>
      <c r="M422" s="4" t="str">
        <f aca="false">IF(L422="","",IF(L422&lt;F422,"UNDER low est",IF(L422&gt;G422,"OVER high est","within range")))</f>
        <v/>
      </c>
    </row>
    <row r="423" customFormat="false" ht="15" hidden="false" customHeight="true" outlineLevel="0" collapsed="false">
      <c r="A423" s="4" t="n">
        <v>425</v>
      </c>
      <c r="B423" s="6" t="s">
        <v>16</v>
      </c>
      <c r="C423" s="5" t="s">
        <v>604</v>
      </c>
      <c r="D423" s="5" t="s">
        <v>604</v>
      </c>
      <c r="E423" s="4" t="s">
        <v>239</v>
      </c>
      <c r="F423" s="8" t="n">
        <v>40</v>
      </c>
      <c r="G423" s="8" t="n">
        <v>100</v>
      </c>
      <c r="H423" s="4" t="s">
        <v>233</v>
      </c>
      <c r="I423" s="4"/>
      <c r="J423" s="4"/>
      <c r="K423" s="4"/>
      <c r="L423" s="4"/>
      <c r="M423" s="4" t="str">
        <f aca="false">IF(L423="","",IF(L423&lt;F423,"UNDER low est",IF(L423&gt;G423,"OVER high est","within range")))</f>
        <v/>
      </c>
    </row>
    <row r="424" customFormat="false" ht="15" hidden="false" customHeight="true" outlineLevel="0" collapsed="false">
      <c r="A424" s="4" t="n">
        <v>426</v>
      </c>
      <c r="B424" s="6" t="s">
        <v>16</v>
      </c>
      <c r="C424" s="17" t="s">
        <v>241</v>
      </c>
      <c r="D424" s="17" t="s">
        <v>605</v>
      </c>
      <c r="E424" s="4" t="s">
        <v>239</v>
      </c>
      <c r="F424" s="8" t="n">
        <v>10</v>
      </c>
      <c r="G424" s="8" t="n">
        <v>50</v>
      </c>
      <c r="H424" s="4" t="s">
        <v>275</v>
      </c>
      <c r="I424" s="4"/>
      <c r="J424" s="4"/>
      <c r="K424" s="4"/>
      <c r="L424" s="4"/>
      <c r="M424" s="4" t="str">
        <f aca="false">IF(L424="","",IF(L424&lt;F424,"UNDER low est",IF(L424&gt;G424,"OVER high est","within range")))</f>
        <v/>
      </c>
    </row>
    <row r="425" customFormat="false" ht="15" hidden="false" customHeight="true" outlineLevel="0" collapsed="false">
      <c r="A425" s="4" t="n">
        <v>427</v>
      </c>
      <c r="B425" s="6" t="s">
        <v>16</v>
      </c>
      <c r="C425" s="17" t="s">
        <v>241</v>
      </c>
      <c r="D425" s="17" t="s">
        <v>606</v>
      </c>
      <c r="E425" s="4" t="s">
        <v>239</v>
      </c>
      <c r="F425" s="8" t="n">
        <v>25</v>
      </c>
      <c r="G425" s="8" t="n">
        <v>100</v>
      </c>
      <c r="H425" s="4" t="s">
        <v>243</v>
      </c>
      <c r="I425" s="4"/>
      <c r="J425" s="4"/>
      <c r="K425" s="4"/>
      <c r="L425" s="4"/>
      <c r="M425" s="4" t="str">
        <f aca="false">IF(L425="","",IF(L425&lt;F425,"UNDER low est",IF(L425&gt;G425,"OVER high est","within range")))</f>
        <v/>
      </c>
    </row>
    <row r="426" customFormat="false" ht="15" hidden="false" customHeight="true" outlineLevel="0" collapsed="false">
      <c r="A426" s="4" t="n">
        <v>428</v>
      </c>
      <c r="B426" s="6" t="s">
        <v>16</v>
      </c>
      <c r="C426" s="5" t="s">
        <v>607</v>
      </c>
      <c r="D426" s="5" t="s">
        <v>607</v>
      </c>
      <c r="E426" s="4" t="s">
        <v>281</v>
      </c>
      <c r="F426" s="8" t="n">
        <v>25</v>
      </c>
      <c r="G426" s="8" t="n">
        <v>200</v>
      </c>
      <c r="H426" s="4" t="s">
        <v>233</v>
      </c>
      <c r="I426" s="16" t="s">
        <v>234</v>
      </c>
      <c r="J426" s="4"/>
      <c r="K426" s="4"/>
      <c r="L426" s="4"/>
      <c r="M426" s="4" t="str">
        <f aca="false">IF(L426="","",IF(L426&lt;F426,"UNDER low est",IF(L426&gt;G426,"OVER high est","within range")))</f>
        <v/>
      </c>
    </row>
    <row r="427" customFormat="false" ht="23.25" hidden="false" customHeight="true" outlineLevel="0" collapsed="false">
      <c r="A427" s="4" t="n">
        <v>429</v>
      </c>
      <c r="B427" s="6" t="s">
        <v>16</v>
      </c>
      <c r="C427" s="17" t="s">
        <v>241</v>
      </c>
      <c r="D427" s="17" t="s">
        <v>608</v>
      </c>
      <c r="E427" s="4" t="s">
        <v>281</v>
      </c>
      <c r="F427" s="8" t="n">
        <v>25</v>
      </c>
      <c r="G427" s="8" t="n">
        <v>200</v>
      </c>
      <c r="H427" s="4" t="s">
        <v>243</v>
      </c>
      <c r="I427" s="16" t="s">
        <v>234</v>
      </c>
      <c r="J427" s="4"/>
      <c r="K427" s="4"/>
      <c r="L427" s="4"/>
      <c r="M427" s="4" t="str">
        <f aca="false">IF(L427="","",IF(L427&lt;F427,"UNDER low est",IF(L427&gt;G427,"OVER high est","within range")))</f>
        <v/>
      </c>
    </row>
    <row r="428" customFormat="false" ht="15" hidden="false" customHeight="true" outlineLevel="0" collapsed="false">
      <c r="A428" s="4" t="n">
        <v>430</v>
      </c>
      <c r="B428" s="6" t="s">
        <v>16</v>
      </c>
      <c r="C428" s="17" t="s">
        <v>241</v>
      </c>
      <c r="D428" s="17" t="s">
        <v>609</v>
      </c>
      <c r="E428" s="4" t="s">
        <v>239</v>
      </c>
      <c r="F428" s="8" t="n">
        <v>10</v>
      </c>
      <c r="G428" s="8" t="n">
        <v>50</v>
      </c>
      <c r="H428" s="4" t="s">
        <v>275</v>
      </c>
      <c r="I428" s="4"/>
      <c r="J428" s="4"/>
      <c r="K428" s="4"/>
      <c r="L428" s="4"/>
      <c r="M428" s="4" t="str">
        <f aca="false">IF(L428="","",IF(L428&lt;F428,"UNDER low est",IF(L428&gt;G428,"OVER high est","within range")))</f>
        <v/>
      </c>
    </row>
    <row r="429" customFormat="false" ht="15" hidden="false" customHeight="true" outlineLevel="0" collapsed="false">
      <c r="A429" s="4" t="n">
        <v>431</v>
      </c>
      <c r="B429" s="6" t="s">
        <v>16</v>
      </c>
      <c r="C429" s="17" t="s">
        <v>241</v>
      </c>
      <c r="D429" s="17" t="s">
        <v>610</v>
      </c>
      <c r="E429" s="4" t="s">
        <v>265</v>
      </c>
      <c r="F429" s="8" t="n">
        <v>10</v>
      </c>
      <c r="G429" s="8" t="n">
        <v>50</v>
      </c>
      <c r="H429" s="4" t="s">
        <v>275</v>
      </c>
      <c r="I429" s="4"/>
      <c r="J429" s="4"/>
      <c r="K429" s="4"/>
      <c r="L429" s="4"/>
      <c r="M429" s="4" t="str">
        <f aca="false">IF(L429="","",IF(L429&lt;F429,"UNDER low est",IF(L429&gt;G429,"OVER high est","within range")))</f>
        <v/>
      </c>
    </row>
    <row r="430" customFormat="false" ht="15" hidden="false" customHeight="true" outlineLevel="0" collapsed="false">
      <c r="A430" s="4" t="n">
        <v>432</v>
      </c>
      <c r="B430" s="6" t="s">
        <v>16</v>
      </c>
      <c r="C430" s="17" t="s">
        <v>241</v>
      </c>
      <c r="D430" s="17" t="s">
        <v>611</v>
      </c>
      <c r="E430" s="4" t="s">
        <v>239</v>
      </c>
      <c r="F430" s="8" t="n">
        <v>20</v>
      </c>
      <c r="G430" s="8" t="n">
        <v>80</v>
      </c>
      <c r="H430" s="4" t="s">
        <v>243</v>
      </c>
      <c r="I430" s="4"/>
      <c r="J430" s="4"/>
      <c r="K430" s="4"/>
      <c r="L430" s="4"/>
      <c r="M430" s="4" t="str">
        <f aca="false">IF(L430="","",IF(L430&lt;F430,"UNDER low est",IF(L430&gt;G430,"OVER high est","within range")))</f>
        <v/>
      </c>
    </row>
    <row r="431" customFormat="false" ht="15" hidden="false" customHeight="true" outlineLevel="0" collapsed="false">
      <c r="A431" s="4" t="n">
        <v>433</v>
      </c>
      <c r="B431" s="6" t="s">
        <v>16</v>
      </c>
      <c r="C431" s="17" t="s">
        <v>241</v>
      </c>
      <c r="D431" s="17" t="s">
        <v>612</v>
      </c>
      <c r="E431" s="4" t="s">
        <v>239</v>
      </c>
      <c r="F431" s="8" t="n">
        <v>10</v>
      </c>
      <c r="G431" s="8" t="n">
        <v>50</v>
      </c>
      <c r="H431" s="4" t="s">
        <v>275</v>
      </c>
      <c r="I431" s="4"/>
      <c r="J431" s="4"/>
      <c r="K431" s="4"/>
      <c r="L431" s="4"/>
      <c r="M431" s="4" t="str">
        <f aca="false">IF(L431="","",IF(L431&lt;F431,"UNDER low est",IF(L431&gt;G431,"OVER high est","within range")))</f>
        <v/>
      </c>
    </row>
    <row r="432" customFormat="false" ht="15" hidden="false" customHeight="true" outlineLevel="0" collapsed="false">
      <c r="A432" s="4" t="n">
        <v>434</v>
      </c>
      <c r="B432" s="6" t="s">
        <v>16</v>
      </c>
      <c r="C432" s="5" t="s">
        <v>613</v>
      </c>
      <c r="D432" s="5" t="s">
        <v>613</v>
      </c>
      <c r="E432" s="4" t="s">
        <v>239</v>
      </c>
      <c r="F432" s="8" t="n">
        <v>10</v>
      </c>
      <c r="G432" s="8" t="n">
        <v>50</v>
      </c>
      <c r="H432" s="4" t="s">
        <v>243</v>
      </c>
      <c r="I432" s="4"/>
      <c r="J432" s="4"/>
      <c r="K432" s="4"/>
      <c r="L432" s="4"/>
      <c r="M432" s="4" t="str">
        <f aca="false">IF(L432="","",IF(L432&lt;F432,"UNDER low est",IF(L432&gt;G432,"OVER high est","within range")))</f>
        <v/>
      </c>
    </row>
    <row r="433" customFormat="false" ht="15" hidden="false" customHeight="true" outlineLevel="0" collapsed="false">
      <c r="A433" s="4" t="n">
        <v>435</v>
      </c>
      <c r="B433" s="6" t="s">
        <v>16</v>
      </c>
      <c r="C433" s="5" t="s">
        <v>614</v>
      </c>
      <c r="D433" s="5" t="s">
        <v>614</v>
      </c>
      <c r="E433" s="4" t="s">
        <v>239</v>
      </c>
      <c r="F433" s="8" t="n">
        <v>10</v>
      </c>
      <c r="G433" s="8" t="n">
        <v>50</v>
      </c>
      <c r="H433" s="4" t="s">
        <v>243</v>
      </c>
      <c r="I433" s="4"/>
      <c r="J433" s="4"/>
      <c r="K433" s="4"/>
      <c r="L433" s="4"/>
      <c r="M433" s="4" t="str">
        <f aca="false">IF(L433="","",IF(L433&lt;F433,"UNDER low est",IF(L433&gt;G433,"OVER high est","within range")))</f>
        <v/>
      </c>
    </row>
    <row r="434" customFormat="false" ht="15" hidden="false" customHeight="true" outlineLevel="0" collapsed="false">
      <c r="A434" s="4" t="n">
        <v>436</v>
      </c>
      <c r="B434" s="6" t="s">
        <v>16</v>
      </c>
      <c r="C434" s="5" t="s">
        <v>615</v>
      </c>
      <c r="D434" s="5" t="s">
        <v>615</v>
      </c>
      <c r="E434" s="4" t="s">
        <v>281</v>
      </c>
      <c r="F434" s="8" t="n">
        <v>10</v>
      </c>
      <c r="G434" s="8" t="n">
        <v>40</v>
      </c>
      <c r="H434" s="4" t="s">
        <v>233</v>
      </c>
      <c r="I434" s="4"/>
      <c r="J434" s="4"/>
      <c r="K434" s="4"/>
      <c r="L434" s="4"/>
      <c r="M434" s="4" t="str">
        <f aca="false">IF(L434="","",IF(L434&lt;F434,"UNDER low est",IF(L434&gt;G434,"OVER high est","within range")))</f>
        <v/>
      </c>
    </row>
    <row r="435" customFormat="false" ht="15" hidden="false" customHeight="true" outlineLevel="0" collapsed="false">
      <c r="A435" s="4" t="n">
        <v>437</v>
      </c>
      <c r="B435" s="6" t="s">
        <v>16</v>
      </c>
      <c r="C435" s="5" t="s">
        <v>616</v>
      </c>
      <c r="D435" s="5" t="s">
        <v>616</v>
      </c>
      <c r="E435" s="4" t="s">
        <v>281</v>
      </c>
      <c r="F435" s="8" t="n">
        <v>15</v>
      </c>
      <c r="G435" s="8" t="n">
        <v>60</v>
      </c>
      <c r="H435" s="4" t="s">
        <v>233</v>
      </c>
      <c r="I435" s="4"/>
      <c r="J435" s="4"/>
      <c r="K435" s="4"/>
      <c r="L435" s="4"/>
      <c r="M435" s="4" t="str">
        <f aca="false">IF(L435="","",IF(L435&lt;F435,"UNDER low est",IF(L435&gt;G435,"OVER high est","within range")))</f>
        <v/>
      </c>
    </row>
    <row r="436" customFormat="false" ht="15" hidden="false" customHeight="true" outlineLevel="0" collapsed="false">
      <c r="A436" s="4" t="n">
        <v>438</v>
      </c>
      <c r="B436" s="6" t="s">
        <v>16</v>
      </c>
      <c r="C436" s="5" t="s">
        <v>617</v>
      </c>
      <c r="D436" s="5" t="s">
        <v>617</v>
      </c>
      <c r="E436" s="4" t="s">
        <v>239</v>
      </c>
      <c r="F436" s="8" t="n">
        <v>15</v>
      </c>
      <c r="G436" s="8" t="n">
        <v>50</v>
      </c>
      <c r="H436" s="4" t="s">
        <v>233</v>
      </c>
      <c r="I436" s="4"/>
      <c r="J436" s="4"/>
      <c r="K436" s="4"/>
      <c r="L436" s="4"/>
      <c r="M436" s="4" t="str">
        <f aca="false">IF(L436="","",IF(L436&lt;F436,"UNDER low est",IF(L436&gt;G436,"OVER high est","within range")))</f>
        <v/>
      </c>
    </row>
    <row r="437" customFormat="false" ht="15" hidden="false" customHeight="true" outlineLevel="0" collapsed="false">
      <c r="A437" s="4" t="n">
        <v>439</v>
      </c>
      <c r="B437" s="6" t="s">
        <v>16</v>
      </c>
      <c r="C437" s="5" t="s">
        <v>618</v>
      </c>
      <c r="D437" s="5" t="s">
        <v>618</v>
      </c>
      <c r="E437" s="4" t="s">
        <v>239</v>
      </c>
      <c r="F437" s="8" t="n">
        <v>10</v>
      </c>
      <c r="G437" s="8" t="n">
        <v>50</v>
      </c>
      <c r="H437" s="4" t="s">
        <v>243</v>
      </c>
      <c r="I437" s="4"/>
      <c r="J437" s="4"/>
      <c r="K437" s="4"/>
      <c r="L437" s="4"/>
      <c r="M437" s="4" t="str">
        <f aca="false">IF(L437="","",IF(L437&lt;F437,"UNDER low est",IF(L437&gt;G437,"OVER high est","within range")))</f>
        <v/>
      </c>
    </row>
    <row r="438" customFormat="false" ht="15" hidden="false" customHeight="true" outlineLevel="0" collapsed="false">
      <c r="A438" s="4" t="n">
        <v>440</v>
      </c>
      <c r="B438" s="6" t="s">
        <v>16</v>
      </c>
      <c r="C438" s="5" t="s">
        <v>619</v>
      </c>
      <c r="D438" s="5" t="s">
        <v>619</v>
      </c>
      <c r="E438" s="4" t="s">
        <v>281</v>
      </c>
      <c r="F438" s="8" t="n">
        <v>10</v>
      </c>
      <c r="G438" s="8" t="n">
        <v>40</v>
      </c>
      <c r="H438" s="4" t="s">
        <v>233</v>
      </c>
      <c r="I438" s="4"/>
      <c r="J438" s="4"/>
      <c r="K438" s="4"/>
      <c r="L438" s="4"/>
      <c r="M438" s="4" t="str">
        <f aca="false">IF(L438="","",IF(L438&lt;F438,"UNDER low est",IF(L438&gt;G438,"OVER high est","within range")))</f>
        <v/>
      </c>
    </row>
    <row r="439" customFormat="false" ht="23.25" hidden="false" customHeight="true" outlineLevel="0" collapsed="false">
      <c r="A439" s="4" t="n">
        <v>441</v>
      </c>
      <c r="B439" s="6" t="s">
        <v>16</v>
      </c>
      <c r="C439" s="17" t="s">
        <v>241</v>
      </c>
      <c r="D439" s="17" t="s">
        <v>620</v>
      </c>
      <c r="E439" s="4" t="s">
        <v>239</v>
      </c>
      <c r="F439" s="8" t="n">
        <v>10</v>
      </c>
      <c r="G439" s="8" t="n">
        <v>50</v>
      </c>
      <c r="H439" s="4" t="s">
        <v>275</v>
      </c>
      <c r="I439" s="4"/>
      <c r="J439" s="4"/>
      <c r="K439" s="4"/>
      <c r="L439" s="4"/>
      <c r="M439" s="4" t="str">
        <f aca="false">IF(L439="","",IF(L439&lt;F439,"UNDER low est",IF(L439&gt;G439,"OVER high est","within range")))</f>
        <v/>
      </c>
    </row>
    <row r="440" customFormat="false" ht="15" hidden="false" customHeight="true" outlineLevel="0" collapsed="false">
      <c r="A440" s="4" t="n">
        <v>442</v>
      </c>
      <c r="B440" s="6" t="s">
        <v>16</v>
      </c>
      <c r="C440" s="17" t="s">
        <v>241</v>
      </c>
      <c r="D440" s="17" t="s">
        <v>621</v>
      </c>
      <c r="E440" s="4" t="s">
        <v>237</v>
      </c>
      <c r="F440" s="8" t="n">
        <v>10</v>
      </c>
      <c r="G440" s="8" t="n">
        <v>50</v>
      </c>
      <c r="H440" s="4" t="s">
        <v>275</v>
      </c>
      <c r="I440" s="4"/>
      <c r="J440" s="4"/>
      <c r="K440" s="4"/>
      <c r="L440" s="4"/>
      <c r="M440" s="4" t="str">
        <f aca="false">IF(L440="","",IF(L440&lt;F440,"UNDER low est",IF(L440&gt;G440,"OVER high est","within range")))</f>
        <v/>
      </c>
    </row>
    <row r="441" customFormat="false" ht="15" hidden="false" customHeight="true" outlineLevel="0" collapsed="false">
      <c r="A441" s="4" t="n">
        <v>443</v>
      </c>
      <c r="B441" s="6" t="s">
        <v>16</v>
      </c>
      <c r="C441" s="5" t="s">
        <v>622</v>
      </c>
      <c r="D441" s="5" t="s">
        <v>622</v>
      </c>
      <c r="E441" s="4" t="s">
        <v>59</v>
      </c>
      <c r="F441" s="8" t="n">
        <v>40</v>
      </c>
      <c r="G441" s="8" t="n">
        <v>200</v>
      </c>
      <c r="H441" s="4" t="s">
        <v>233</v>
      </c>
      <c r="I441" s="16" t="s">
        <v>234</v>
      </c>
      <c r="J441" s="4"/>
      <c r="K441" s="4"/>
      <c r="L441" s="4"/>
      <c r="M441" s="4" t="str">
        <f aca="false">IF(L441="","",IF(L441&lt;F441,"UNDER low est",IF(L441&gt;G441,"OVER high est","within range")))</f>
        <v/>
      </c>
    </row>
    <row r="442" customFormat="false" ht="15" hidden="false" customHeight="true" outlineLevel="0" collapsed="false">
      <c r="A442" s="4" t="n">
        <v>444</v>
      </c>
      <c r="B442" s="6" t="s">
        <v>16</v>
      </c>
      <c r="C442" s="5" t="s">
        <v>623</v>
      </c>
      <c r="D442" s="5" t="s">
        <v>623</v>
      </c>
      <c r="E442" s="4" t="s">
        <v>299</v>
      </c>
      <c r="F442" s="8" t="n">
        <v>10</v>
      </c>
      <c r="G442" s="8" t="n">
        <v>50</v>
      </c>
      <c r="H442" s="4" t="s">
        <v>243</v>
      </c>
      <c r="I442" s="4"/>
      <c r="J442" s="4"/>
      <c r="K442" s="4"/>
      <c r="L442" s="4"/>
      <c r="M442" s="4" t="str">
        <f aca="false">IF(L442="","",IF(L442&lt;F442,"UNDER low est",IF(L442&gt;G442,"OVER high est","within range")))</f>
        <v/>
      </c>
    </row>
    <row r="443" customFormat="false" ht="15" hidden="false" customHeight="true" outlineLevel="0" collapsed="false">
      <c r="A443" s="4" t="n">
        <v>445</v>
      </c>
      <c r="B443" s="6" t="s">
        <v>16</v>
      </c>
      <c r="C443" s="5" t="s">
        <v>624</v>
      </c>
      <c r="D443" s="5" t="s">
        <v>624</v>
      </c>
      <c r="E443" s="4" t="s">
        <v>239</v>
      </c>
      <c r="F443" s="8" t="n">
        <v>10</v>
      </c>
      <c r="G443" s="8" t="n">
        <v>50</v>
      </c>
      <c r="H443" s="4" t="s">
        <v>243</v>
      </c>
      <c r="I443" s="4"/>
      <c r="J443" s="4"/>
      <c r="K443" s="4"/>
      <c r="L443" s="4"/>
      <c r="M443" s="4" t="str">
        <f aca="false">IF(L443="","",IF(L443&lt;F443,"UNDER low est",IF(L443&gt;G443,"OVER high est","within range")))</f>
        <v/>
      </c>
    </row>
    <row r="444" customFormat="false" ht="15" hidden="false" customHeight="true" outlineLevel="0" collapsed="false">
      <c r="A444" s="4" t="n">
        <v>446</v>
      </c>
      <c r="B444" s="6" t="s">
        <v>16</v>
      </c>
      <c r="C444" s="5" t="s">
        <v>625</v>
      </c>
      <c r="D444" s="5" t="s">
        <v>625</v>
      </c>
      <c r="E444" s="4" t="s">
        <v>239</v>
      </c>
      <c r="F444" s="8" t="n">
        <v>10</v>
      </c>
      <c r="G444" s="8" t="n">
        <v>50</v>
      </c>
      <c r="H444" s="4" t="s">
        <v>243</v>
      </c>
      <c r="I444" s="4"/>
      <c r="J444" s="4"/>
      <c r="K444" s="4"/>
      <c r="L444" s="4"/>
      <c r="M444" s="4" t="str">
        <f aca="false">IF(L444="","",IF(L444&lt;F444,"UNDER low est",IF(L444&gt;G444,"OVER high est","within range")))</f>
        <v/>
      </c>
    </row>
    <row r="445" customFormat="false" ht="15" hidden="false" customHeight="true" outlineLevel="0" collapsed="false">
      <c r="A445" s="4" t="n">
        <v>447</v>
      </c>
      <c r="B445" s="6" t="s">
        <v>16</v>
      </c>
      <c r="C445" s="5" t="s">
        <v>626</v>
      </c>
      <c r="D445" s="5" t="s">
        <v>626</v>
      </c>
      <c r="E445" s="4" t="s">
        <v>239</v>
      </c>
      <c r="F445" s="8" t="n">
        <v>10</v>
      </c>
      <c r="G445" s="8" t="n">
        <v>50</v>
      </c>
      <c r="H445" s="4" t="s">
        <v>243</v>
      </c>
      <c r="I445" s="4"/>
      <c r="J445" s="4"/>
      <c r="K445" s="4"/>
      <c r="L445" s="4"/>
      <c r="M445" s="4" t="str">
        <f aca="false">IF(L445="","",IF(L445&lt;F445,"UNDER low est",IF(L445&gt;G445,"OVER high est","within range")))</f>
        <v/>
      </c>
    </row>
    <row r="446" customFormat="false" ht="15" hidden="false" customHeight="true" outlineLevel="0" collapsed="false">
      <c r="A446" s="4" t="n">
        <v>448</v>
      </c>
      <c r="B446" s="6" t="s">
        <v>16</v>
      </c>
      <c r="C446" s="5" t="s">
        <v>627</v>
      </c>
      <c r="D446" s="5" t="s">
        <v>627</v>
      </c>
      <c r="E446" s="4" t="s">
        <v>239</v>
      </c>
      <c r="F446" s="8" t="n">
        <v>10</v>
      </c>
      <c r="G446" s="8" t="n">
        <v>50</v>
      </c>
      <c r="H446" s="4" t="s">
        <v>243</v>
      </c>
      <c r="I446" s="4"/>
      <c r="J446" s="4"/>
      <c r="K446" s="4"/>
      <c r="L446" s="4"/>
      <c r="M446" s="4" t="str">
        <f aca="false">IF(L446="","",IF(L446&lt;F446,"UNDER low est",IF(L446&gt;G446,"OVER high est","within range")))</f>
        <v/>
      </c>
    </row>
    <row r="447" customFormat="false" ht="15" hidden="false" customHeight="true" outlineLevel="0" collapsed="false">
      <c r="A447" s="4" t="n">
        <v>449</v>
      </c>
      <c r="B447" s="6" t="s">
        <v>16</v>
      </c>
      <c r="C447" s="5" t="s">
        <v>628</v>
      </c>
      <c r="D447" s="5" t="s">
        <v>628</v>
      </c>
      <c r="E447" s="4" t="s">
        <v>299</v>
      </c>
      <c r="F447" s="8" t="n">
        <v>40</v>
      </c>
      <c r="G447" s="8" t="n">
        <v>150</v>
      </c>
      <c r="H447" s="4" t="s">
        <v>233</v>
      </c>
      <c r="I447" s="16" t="s">
        <v>234</v>
      </c>
      <c r="J447" s="4"/>
      <c r="K447" s="4"/>
      <c r="L447" s="4"/>
      <c r="M447" s="4" t="str">
        <f aca="false">IF(L447="","",IF(L447&lt;F447,"UNDER low est",IF(L447&gt;G447,"OVER high est","within range")))</f>
        <v/>
      </c>
    </row>
    <row r="448" customFormat="false" ht="15" hidden="false" customHeight="true" outlineLevel="0" collapsed="false">
      <c r="A448" s="4" t="n">
        <v>450</v>
      </c>
      <c r="B448" s="6" t="s">
        <v>16</v>
      </c>
      <c r="C448" s="5" t="s">
        <v>629</v>
      </c>
      <c r="D448" s="5" t="s">
        <v>629</v>
      </c>
      <c r="E448" s="4" t="s">
        <v>239</v>
      </c>
      <c r="F448" s="8" t="n">
        <v>10</v>
      </c>
      <c r="G448" s="8" t="n">
        <v>40</v>
      </c>
      <c r="H448" s="4" t="s">
        <v>233</v>
      </c>
      <c r="I448" s="4"/>
      <c r="J448" s="4"/>
      <c r="K448" s="4"/>
      <c r="L448" s="4"/>
      <c r="M448" s="4" t="str">
        <f aca="false">IF(L448="","",IF(L448&lt;F448,"UNDER low est",IF(L448&gt;G448,"OVER high est","within range")))</f>
        <v/>
      </c>
    </row>
    <row r="449" customFormat="false" ht="15" hidden="false" customHeight="true" outlineLevel="0" collapsed="false">
      <c r="A449" s="4" t="n">
        <v>451</v>
      </c>
      <c r="B449" s="6" t="s">
        <v>16</v>
      </c>
      <c r="C449" s="5" t="s">
        <v>630</v>
      </c>
      <c r="D449" s="5" t="s">
        <v>630</v>
      </c>
      <c r="E449" s="4" t="s">
        <v>239</v>
      </c>
      <c r="F449" s="8" t="n">
        <v>20</v>
      </c>
      <c r="G449" s="8" t="n">
        <v>60</v>
      </c>
      <c r="H449" s="4" t="s">
        <v>233</v>
      </c>
      <c r="I449" s="4"/>
      <c r="J449" s="4"/>
      <c r="K449" s="4"/>
      <c r="L449" s="4"/>
      <c r="M449" s="4" t="str">
        <f aca="false">IF(L449="","",IF(L449&lt;F449,"UNDER low est",IF(L449&gt;G449,"OVER high est","within range")))</f>
        <v/>
      </c>
    </row>
    <row r="450" customFormat="false" ht="15" hidden="false" customHeight="true" outlineLevel="0" collapsed="false">
      <c r="A450" s="4" t="n">
        <v>452</v>
      </c>
      <c r="B450" s="6" t="s">
        <v>16</v>
      </c>
      <c r="C450" s="5" t="s">
        <v>631</v>
      </c>
      <c r="D450" s="5" t="s">
        <v>631</v>
      </c>
      <c r="E450" s="4" t="s">
        <v>239</v>
      </c>
      <c r="F450" s="8" t="n">
        <v>10</v>
      </c>
      <c r="G450" s="8" t="n">
        <v>50</v>
      </c>
      <c r="H450" s="4" t="s">
        <v>243</v>
      </c>
      <c r="I450" s="4"/>
      <c r="J450" s="4"/>
      <c r="K450" s="4"/>
      <c r="L450" s="4"/>
      <c r="M450" s="4" t="str">
        <f aca="false">IF(L450="","",IF(L450&lt;F450,"UNDER low est",IF(L450&gt;G450,"OVER high est","within range")))</f>
        <v/>
      </c>
    </row>
    <row r="451" customFormat="false" ht="15" hidden="false" customHeight="true" outlineLevel="0" collapsed="false">
      <c r="A451" s="4" t="n">
        <v>453</v>
      </c>
      <c r="B451" s="6" t="s">
        <v>16</v>
      </c>
      <c r="C451" s="17" t="s">
        <v>241</v>
      </c>
      <c r="D451" s="17" t="s">
        <v>632</v>
      </c>
      <c r="E451" s="4" t="s">
        <v>239</v>
      </c>
      <c r="F451" s="8" t="n">
        <v>10</v>
      </c>
      <c r="G451" s="8" t="n">
        <v>50</v>
      </c>
      <c r="H451" s="4" t="s">
        <v>275</v>
      </c>
      <c r="I451" s="4"/>
      <c r="J451" s="4"/>
      <c r="K451" s="4"/>
      <c r="L451" s="4"/>
      <c r="M451" s="4" t="str">
        <f aca="false">IF(L451="","",IF(L451&lt;F451,"UNDER low est",IF(L451&gt;G451,"OVER high est","within range")))</f>
        <v/>
      </c>
    </row>
    <row r="452" customFormat="false" ht="15" hidden="false" customHeight="true" outlineLevel="0" collapsed="false">
      <c r="A452" s="4" t="n">
        <v>454</v>
      </c>
      <c r="B452" s="6" t="s">
        <v>16</v>
      </c>
      <c r="C452" s="5" t="s">
        <v>633</v>
      </c>
      <c r="D452" s="5" t="s">
        <v>633</v>
      </c>
      <c r="E452" s="4" t="s">
        <v>237</v>
      </c>
      <c r="F452" s="8" t="n">
        <v>15</v>
      </c>
      <c r="G452" s="8" t="n">
        <v>60</v>
      </c>
      <c r="H452" s="4" t="s">
        <v>233</v>
      </c>
      <c r="I452" s="4"/>
      <c r="J452" s="4"/>
      <c r="K452" s="4"/>
      <c r="L452" s="4"/>
      <c r="M452" s="4" t="str">
        <f aca="false">IF(L452="","",IF(L452&lt;F452,"UNDER low est",IF(L452&gt;G452,"OVER high est","within range")))</f>
        <v/>
      </c>
    </row>
    <row r="453" customFormat="false" ht="15" hidden="false" customHeight="true" outlineLevel="0" collapsed="false">
      <c r="A453" s="4" t="n">
        <v>455</v>
      </c>
      <c r="B453" s="6" t="s">
        <v>16</v>
      </c>
      <c r="C453" s="5" t="s">
        <v>634</v>
      </c>
      <c r="D453" s="5" t="s">
        <v>634</v>
      </c>
      <c r="E453" s="4" t="s">
        <v>237</v>
      </c>
      <c r="F453" s="8" t="n">
        <v>15</v>
      </c>
      <c r="G453" s="8" t="n">
        <v>60</v>
      </c>
      <c r="H453" s="4" t="s">
        <v>233</v>
      </c>
      <c r="I453" s="4"/>
      <c r="J453" s="4"/>
      <c r="K453" s="4"/>
      <c r="L453" s="4"/>
      <c r="M453" s="4" t="str">
        <f aca="false">IF(L453="","",IF(L453&lt;F453,"UNDER low est",IF(L453&gt;G453,"OVER high est","within range")))</f>
        <v/>
      </c>
    </row>
  </sheetData>
  <autoFilter ref="A1:M453"/>
  <hyperlinks>
    <hyperlink ref="B2" r:id="rId1" display="photo"/>
    <hyperlink ref="B3" r:id="rId2" display="photo"/>
    <hyperlink ref="B4" r:id="rId3" display="photo"/>
    <hyperlink ref="B5" r:id="rId4" display="photo"/>
    <hyperlink ref="B6" r:id="rId5" display="photo"/>
    <hyperlink ref="B7" r:id="rId6" display="photo"/>
    <hyperlink ref="B8" r:id="rId7" display="photo"/>
    <hyperlink ref="B9" r:id="rId8" display="photo"/>
    <hyperlink ref="B10" r:id="rId9" display="photo"/>
    <hyperlink ref="B11" r:id="rId10" display="photo"/>
    <hyperlink ref="B12" r:id="rId11" display="photo"/>
    <hyperlink ref="B13" r:id="rId12" display="photo"/>
    <hyperlink ref="B14" r:id="rId13" display="photo"/>
    <hyperlink ref="B15" r:id="rId14" display="photo"/>
    <hyperlink ref="B16" r:id="rId15" display="photo"/>
    <hyperlink ref="B17" r:id="rId16" display="photo"/>
    <hyperlink ref="B18" r:id="rId17" display="photo"/>
    <hyperlink ref="B19" r:id="rId18" display="photo"/>
    <hyperlink ref="B20" r:id="rId19" display="photo"/>
    <hyperlink ref="B21" r:id="rId20" display="photo"/>
    <hyperlink ref="B22" r:id="rId21" display="photo"/>
    <hyperlink ref="B23" r:id="rId22" display="photo"/>
    <hyperlink ref="B24" r:id="rId23" display="photo"/>
    <hyperlink ref="B25" r:id="rId24" display="photo"/>
    <hyperlink ref="B26" r:id="rId25" display="photo"/>
    <hyperlink ref="B27" r:id="rId26" display="photo"/>
    <hyperlink ref="B28" r:id="rId27" display="photo"/>
    <hyperlink ref="B29" r:id="rId28" display="photo"/>
    <hyperlink ref="B30" r:id="rId29" display="photo"/>
    <hyperlink ref="B31" r:id="rId30" display="photo"/>
    <hyperlink ref="B32" r:id="rId31" display="photo"/>
    <hyperlink ref="B33" r:id="rId32" display="photo"/>
    <hyperlink ref="B34" r:id="rId33" display="photo"/>
    <hyperlink ref="B35" r:id="rId34" display="photo"/>
    <hyperlink ref="B36" r:id="rId35" display="photo"/>
    <hyperlink ref="B37" r:id="rId36" display="photo"/>
    <hyperlink ref="B38" r:id="rId37" display="photo"/>
    <hyperlink ref="B39" r:id="rId38" display="photo"/>
    <hyperlink ref="B40" r:id="rId39" display="photo"/>
    <hyperlink ref="B41" r:id="rId40" display="photo"/>
    <hyperlink ref="B42" r:id="rId41" display="photo"/>
    <hyperlink ref="B43" r:id="rId42" display="photo"/>
    <hyperlink ref="B44" r:id="rId43" display="photo"/>
    <hyperlink ref="B45" r:id="rId44" display="photo"/>
    <hyperlink ref="B46" r:id="rId45" display="photo"/>
    <hyperlink ref="B47" r:id="rId46" display="photo"/>
    <hyperlink ref="B48" r:id="rId47" display="photo"/>
    <hyperlink ref="B49" r:id="rId48" display="photo"/>
    <hyperlink ref="B50" r:id="rId49" display="photo"/>
    <hyperlink ref="B51" r:id="rId50" display="photo"/>
    <hyperlink ref="B52" r:id="rId51" display="photo"/>
    <hyperlink ref="B53" r:id="rId52" display="photo"/>
    <hyperlink ref="B54" r:id="rId53" display="photo"/>
    <hyperlink ref="B55" r:id="rId54" display="photo"/>
    <hyperlink ref="B56" r:id="rId55" display="photo"/>
    <hyperlink ref="B57" r:id="rId56" display="photo"/>
    <hyperlink ref="B58" r:id="rId57" display="photo"/>
    <hyperlink ref="B59" r:id="rId58" display="photo"/>
    <hyperlink ref="B60" r:id="rId59" display="photo"/>
    <hyperlink ref="B61" r:id="rId60" display="photo"/>
    <hyperlink ref="B62" r:id="rId61" display="photo"/>
    <hyperlink ref="B63" r:id="rId62" display="photo"/>
    <hyperlink ref="B64" r:id="rId63" display="photo"/>
    <hyperlink ref="B65" r:id="rId64" display="photo"/>
    <hyperlink ref="B66" r:id="rId65" display="photo"/>
    <hyperlink ref="B67" r:id="rId66" display="photo"/>
    <hyperlink ref="B68" r:id="rId67" display="photo"/>
    <hyperlink ref="B69" r:id="rId68" display="photo"/>
    <hyperlink ref="B70" r:id="rId69" display="photo"/>
    <hyperlink ref="B71" r:id="rId70" display="photo"/>
    <hyperlink ref="B72" r:id="rId71" display="photo"/>
    <hyperlink ref="B73" r:id="rId72" display="photo"/>
    <hyperlink ref="B74" r:id="rId73" display="photo"/>
    <hyperlink ref="B75" r:id="rId74" display="photo"/>
    <hyperlink ref="B76" r:id="rId75" display="photo"/>
    <hyperlink ref="B77" r:id="rId76" display="photo"/>
    <hyperlink ref="B78" r:id="rId77" display="photo"/>
    <hyperlink ref="B79" r:id="rId78" display="photo"/>
    <hyperlink ref="B80" r:id="rId79" display="photo"/>
    <hyperlink ref="B81" r:id="rId80" display="photo"/>
    <hyperlink ref="B82" r:id="rId81" display="photo"/>
    <hyperlink ref="B83" r:id="rId82" display="photo"/>
    <hyperlink ref="B84" r:id="rId83" display="photo"/>
    <hyperlink ref="B85" r:id="rId84" display="photo"/>
    <hyperlink ref="B86" r:id="rId85" display="photo"/>
    <hyperlink ref="B87" r:id="rId86" display="photo"/>
    <hyperlink ref="B88" r:id="rId87" display="photo"/>
    <hyperlink ref="B89" r:id="rId88" display="photo"/>
    <hyperlink ref="B90" r:id="rId89" display="photo"/>
    <hyperlink ref="B91" r:id="rId90" display="photo"/>
    <hyperlink ref="B92" r:id="rId91" display="photo"/>
    <hyperlink ref="B93" r:id="rId92" display="photo"/>
    <hyperlink ref="B94" r:id="rId93" display="photo"/>
    <hyperlink ref="B95" r:id="rId94" display="photo"/>
    <hyperlink ref="B96" r:id="rId95" display="photo"/>
    <hyperlink ref="B97" r:id="rId96" display="photo"/>
    <hyperlink ref="B98" r:id="rId97" display="photo"/>
    <hyperlink ref="B99" r:id="rId98" display="photo"/>
    <hyperlink ref="B100" r:id="rId99" display="photo"/>
    <hyperlink ref="B101" r:id="rId100" display="photo"/>
    <hyperlink ref="B102" r:id="rId101" display="photo"/>
    <hyperlink ref="B103" r:id="rId102" display="photo"/>
    <hyperlink ref="B104" r:id="rId103" display="photo"/>
    <hyperlink ref="B105" r:id="rId104" display="photo"/>
    <hyperlink ref="B106" r:id="rId105" display="photo"/>
    <hyperlink ref="B107" r:id="rId106" display="photo"/>
    <hyperlink ref="B108" r:id="rId107" display="photo"/>
    <hyperlink ref="B109" r:id="rId108" display="photo"/>
    <hyperlink ref="B110" r:id="rId109" display="photo"/>
    <hyperlink ref="B111" r:id="rId110" display="photo"/>
    <hyperlink ref="B112" r:id="rId111" display="photo"/>
    <hyperlink ref="B113" r:id="rId112" display="photo"/>
    <hyperlink ref="B114" r:id="rId113" display="photo"/>
    <hyperlink ref="B115" r:id="rId114" display="photo"/>
    <hyperlink ref="B116" r:id="rId115" display="photo"/>
    <hyperlink ref="B117" r:id="rId116" display="photo"/>
    <hyperlink ref="B118" r:id="rId117" display="photo"/>
    <hyperlink ref="B119" r:id="rId118" display="photo"/>
    <hyperlink ref="B120" r:id="rId119" display="photo"/>
    <hyperlink ref="B121" r:id="rId120" display="photo"/>
    <hyperlink ref="B122" r:id="rId121" display="photo"/>
    <hyperlink ref="B123" r:id="rId122" display="photo"/>
    <hyperlink ref="B124" r:id="rId123" display="photo"/>
    <hyperlink ref="B125" r:id="rId124" display="photo"/>
    <hyperlink ref="B126" r:id="rId125" display="photo"/>
    <hyperlink ref="B127" r:id="rId126" display="photo"/>
    <hyperlink ref="B128" r:id="rId127" display="photo"/>
    <hyperlink ref="B129" r:id="rId128" display="photo"/>
    <hyperlink ref="B130" r:id="rId129" display="photo"/>
    <hyperlink ref="B131" r:id="rId130" display="photo"/>
    <hyperlink ref="B132" r:id="rId131" display="photo"/>
    <hyperlink ref="B133" r:id="rId132" display="photo"/>
    <hyperlink ref="B134" r:id="rId133" display="photo"/>
    <hyperlink ref="B135" r:id="rId134" display="photo"/>
    <hyperlink ref="B136" r:id="rId135" display="photo"/>
    <hyperlink ref="B137" r:id="rId136" display="photo"/>
    <hyperlink ref="B138" r:id="rId137" display="photo"/>
    <hyperlink ref="B139" r:id="rId138" display="photo"/>
    <hyperlink ref="B140" r:id="rId139" display="photo"/>
    <hyperlink ref="B141" r:id="rId140" display="photo"/>
    <hyperlink ref="B142" r:id="rId141" display="photo"/>
    <hyperlink ref="B143" r:id="rId142" display="photo"/>
    <hyperlink ref="B144" r:id="rId143" display="photo"/>
    <hyperlink ref="B145" r:id="rId144" display="photo"/>
    <hyperlink ref="B146" r:id="rId145" display="photo"/>
    <hyperlink ref="B147" r:id="rId146" display="photo"/>
    <hyperlink ref="B148" r:id="rId147" display="photo"/>
    <hyperlink ref="B149" r:id="rId148" display="photo"/>
    <hyperlink ref="B150" r:id="rId149" display="photo"/>
    <hyperlink ref="B151" r:id="rId150" display="photo"/>
    <hyperlink ref="B152" r:id="rId151" display="photo"/>
    <hyperlink ref="B153" r:id="rId152" display="photo"/>
    <hyperlink ref="B154" r:id="rId153" display="photo"/>
    <hyperlink ref="B155" r:id="rId154" display="photo"/>
    <hyperlink ref="B156" r:id="rId155" display="photo"/>
    <hyperlink ref="B157" r:id="rId156" display="photo"/>
    <hyperlink ref="B158" r:id="rId157" display="photo"/>
    <hyperlink ref="B159" r:id="rId158" display="photo"/>
    <hyperlink ref="B160" r:id="rId159" display="photo"/>
    <hyperlink ref="B161" r:id="rId160" display="photo"/>
    <hyperlink ref="B162" r:id="rId161" display="photo"/>
    <hyperlink ref="B163" r:id="rId162" display="photo"/>
    <hyperlink ref="B164" r:id="rId163" display="photo"/>
    <hyperlink ref="B165" r:id="rId164" display="photo"/>
    <hyperlink ref="B166" r:id="rId165" display="photo"/>
    <hyperlink ref="B167" r:id="rId166" display="photo"/>
    <hyperlink ref="B168" r:id="rId167" display="photo"/>
    <hyperlink ref="B169" r:id="rId168" display="photo"/>
    <hyperlink ref="B170" r:id="rId169" display="photo"/>
    <hyperlink ref="B171" r:id="rId170" display="photo"/>
    <hyperlink ref="B172" r:id="rId171" display="photo"/>
    <hyperlink ref="B173" r:id="rId172" display="photo"/>
    <hyperlink ref="B174" r:id="rId173" display="photo"/>
    <hyperlink ref="B175" r:id="rId174" display="photo"/>
    <hyperlink ref="B176" r:id="rId175" display="photo"/>
    <hyperlink ref="B177" r:id="rId176" display="photo"/>
    <hyperlink ref="B178" r:id="rId177" display="photo"/>
    <hyperlink ref="B179" r:id="rId178" display="photo"/>
    <hyperlink ref="B180" r:id="rId179" display="photo"/>
    <hyperlink ref="B181" r:id="rId180" display="photo"/>
    <hyperlink ref="B182" r:id="rId181" display="photo"/>
    <hyperlink ref="B183" r:id="rId182" display="photo"/>
    <hyperlink ref="B184" r:id="rId183" display="photo"/>
    <hyperlink ref="B185" r:id="rId184" display="photo"/>
    <hyperlink ref="B186" r:id="rId185" display="photo"/>
    <hyperlink ref="B187" r:id="rId186" display="photo"/>
    <hyperlink ref="B188" r:id="rId187" display="photo"/>
    <hyperlink ref="B189" r:id="rId188" display="photo"/>
    <hyperlink ref="B190" r:id="rId189" display="photo"/>
    <hyperlink ref="B191" r:id="rId190" display="photo"/>
    <hyperlink ref="B192" r:id="rId191" display="photo"/>
    <hyperlink ref="B193" r:id="rId192" display="photo"/>
    <hyperlink ref="B194" r:id="rId193" display="photo"/>
    <hyperlink ref="B195" r:id="rId194" display="photo"/>
    <hyperlink ref="B196" r:id="rId195" display="photo"/>
    <hyperlink ref="B197" r:id="rId196" display="photo"/>
    <hyperlink ref="B198" r:id="rId197" display="photo"/>
    <hyperlink ref="B199" r:id="rId198" display="photo"/>
    <hyperlink ref="B200" r:id="rId199" display="photo"/>
    <hyperlink ref="B201" r:id="rId200" display="photo"/>
    <hyperlink ref="B202" r:id="rId201" display="photo"/>
    <hyperlink ref="B203" r:id="rId202" display="photo"/>
    <hyperlink ref="B204" r:id="rId203" display="photo"/>
    <hyperlink ref="B205" r:id="rId204" display="photo"/>
    <hyperlink ref="B206" r:id="rId205" display="photo"/>
    <hyperlink ref="B207" r:id="rId206" display="photo"/>
    <hyperlink ref="B208" r:id="rId207" display="photo"/>
    <hyperlink ref="B209" r:id="rId208" display="photo"/>
    <hyperlink ref="B210" r:id="rId209" display="photo"/>
    <hyperlink ref="B211" r:id="rId210" display="photo"/>
    <hyperlink ref="B212" r:id="rId211" display="photo"/>
    <hyperlink ref="B213" r:id="rId212" display="photo"/>
    <hyperlink ref="B214" r:id="rId213" display="photo"/>
    <hyperlink ref="B215" r:id="rId214" display="photo"/>
    <hyperlink ref="B216" r:id="rId215" display="photo"/>
    <hyperlink ref="B217" r:id="rId216" display="photo"/>
    <hyperlink ref="B218" r:id="rId217" display="photo"/>
    <hyperlink ref="B219" r:id="rId218" display="photo"/>
    <hyperlink ref="B220" r:id="rId219" display="photo"/>
    <hyperlink ref="B221" r:id="rId220" display="photo"/>
    <hyperlink ref="B222" r:id="rId221" display="photo"/>
    <hyperlink ref="B223" r:id="rId222" display="photo"/>
    <hyperlink ref="B224" r:id="rId223" display="photo"/>
    <hyperlink ref="B225" r:id="rId224" display="photo"/>
    <hyperlink ref="B226" r:id="rId225" display="photo"/>
    <hyperlink ref="B227" r:id="rId226" display="photo"/>
    <hyperlink ref="B228" r:id="rId227" display="photo"/>
    <hyperlink ref="B229" r:id="rId228" display="photo"/>
    <hyperlink ref="B230" r:id="rId229" display="photo"/>
    <hyperlink ref="B231" r:id="rId230" display="photo"/>
    <hyperlink ref="B232" r:id="rId231" display="photo"/>
    <hyperlink ref="B233" r:id="rId232" display="photo"/>
    <hyperlink ref="B234" r:id="rId233" display="photo"/>
    <hyperlink ref="B235" r:id="rId234" display="photo"/>
    <hyperlink ref="B236" r:id="rId235" display="photo"/>
    <hyperlink ref="B237" r:id="rId236" display="photo"/>
    <hyperlink ref="B238" r:id="rId237" display="photo"/>
    <hyperlink ref="B239" r:id="rId238" display="photo"/>
    <hyperlink ref="B240" r:id="rId239" display="photo"/>
    <hyperlink ref="B241" r:id="rId240" display="photo"/>
    <hyperlink ref="B242" r:id="rId241" display="photo"/>
    <hyperlink ref="B243" r:id="rId242" display="photo"/>
    <hyperlink ref="B244" r:id="rId243" display="photo"/>
    <hyperlink ref="B245" r:id="rId244" display="photo"/>
    <hyperlink ref="B246" r:id="rId245" display="photo"/>
    <hyperlink ref="B247" r:id="rId246" display="photo"/>
    <hyperlink ref="B248" r:id="rId247" display="photo"/>
    <hyperlink ref="B249" r:id="rId248" display="photo"/>
    <hyperlink ref="B250" r:id="rId249" display="photo"/>
    <hyperlink ref="B251" r:id="rId250" display="photo"/>
    <hyperlink ref="B252" r:id="rId251" display="photo"/>
    <hyperlink ref="B253" r:id="rId252" display="photo"/>
    <hyperlink ref="B254" r:id="rId253" display="photo"/>
    <hyperlink ref="B255" r:id="rId254" display="photo"/>
    <hyperlink ref="B256" r:id="rId255" display="photo"/>
    <hyperlink ref="B257" r:id="rId256" display="photo"/>
    <hyperlink ref="B258" r:id="rId257" display="photo"/>
    <hyperlink ref="B259" r:id="rId258" display="photo"/>
    <hyperlink ref="B260" r:id="rId259" display="photo"/>
    <hyperlink ref="B261" r:id="rId260" display="photo"/>
    <hyperlink ref="B262" r:id="rId261" display="photo"/>
    <hyperlink ref="B263" r:id="rId262" display="photo"/>
    <hyperlink ref="B264" r:id="rId263" display="photo"/>
    <hyperlink ref="B265" r:id="rId264" display="photo"/>
    <hyperlink ref="B266" r:id="rId265" display="photo"/>
    <hyperlink ref="B267" r:id="rId266" display="photo"/>
    <hyperlink ref="B268" r:id="rId267" display="photo"/>
    <hyperlink ref="B269" r:id="rId268" display="photo"/>
    <hyperlink ref="B270" r:id="rId269" display="photo"/>
    <hyperlink ref="B271" r:id="rId270" display="photo"/>
    <hyperlink ref="B272" r:id="rId271" display="photo"/>
    <hyperlink ref="B273" r:id="rId272" display="photo"/>
    <hyperlink ref="B274" r:id="rId273" display="photo"/>
    <hyperlink ref="B275" r:id="rId274" display="photo"/>
    <hyperlink ref="B276" r:id="rId275" display="photo"/>
    <hyperlink ref="B277" r:id="rId276" display="photo"/>
    <hyperlink ref="B278" r:id="rId277" display="photo"/>
    <hyperlink ref="B279" r:id="rId278" display="photo"/>
    <hyperlink ref="B280" r:id="rId279" display="photo"/>
    <hyperlink ref="B281" r:id="rId280" display="photo"/>
    <hyperlink ref="B282" r:id="rId281" display="photo"/>
    <hyperlink ref="B283" r:id="rId282" display="photo"/>
    <hyperlink ref="B284" r:id="rId283" display="photo"/>
    <hyperlink ref="B285" r:id="rId284" display="photo"/>
    <hyperlink ref="B286" r:id="rId285" display="photo"/>
    <hyperlink ref="B287" r:id="rId286" display="photo"/>
    <hyperlink ref="B288" r:id="rId287" display="photo"/>
    <hyperlink ref="B289" r:id="rId288" display="photo"/>
    <hyperlink ref="B290" r:id="rId289" display="photo"/>
    <hyperlink ref="B291" r:id="rId290" display="photo"/>
    <hyperlink ref="B292" r:id="rId291" display="photo"/>
    <hyperlink ref="B293" r:id="rId292" display="photo"/>
    <hyperlink ref="B294" r:id="rId293" display="photo"/>
    <hyperlink ref="B295" r:id="rId294" display="photo"/>
    <hyperlink ref="B296" r:id="rId295" display="photo"/>
    <hyperlink ref="B297" r:id="rId296" display="photo"/>
    <hyperlink ref="B298" r:id="rId297" display="photo"/>
    <hyperlink ref="B299" r:id="rId298" display="photo"/>
    <hyperlink ref="B300" r:id="rId299" display="photo"/>
    <hyperlink ref="B301" r:id="rId300" display="photo"/>
    <hyperlink ref="B302" r:id="rId301" display="photo"/>
    <hyperlink ref="B303" r:id="rId302" display="photo"/>
    <hyperlink ref="B304" r:id="rId303" display="photo"/>
    <hyperlink ref="B305" r:id="rId304" display="photo"/>
    <hyperlink ref="B306" r:id="rId305" display="photo"/>
    <hyperlink ref="B307" r:id="rId306" display="photo"/>
    <hyperlink ref="B308" r:id="rId307" display="photo"/>
    <hyperlink ref="B309" r:id="rId308" display="photo"/>
    <hyperlink ref="B310" r:id="rId309" display="photo"/>
    <hyperlink ref="B311" r:id="rId310" display="photo"/>
    <hyperlink ref="B312" r:id="rId311" display="photo"/>
    <hyperlink ref="B313" r:id="rId312" display="photo"/>
    <hyperlink ref="B314" r:id="rId313" display="photo"/>
    <hyperlink ref="B315" r:id="rId314" display="photo"/>
    <hyperlink ref="B316" r:id="rId315" display="photo"/>
    <hyperlink ref="B317" r:id="rId316" display="photo"/>
    <hyperlink ref="B318" r:id="rId317" display="photo"/>
    <hyperlink ref="B319" r:id="rId318" display="photo"/>
    <hyperlink ref="B320" r:id="rId319" display="photo"/>
    <hyperlink ref="B321" r:id="rId320" display="photo"/>
    <hyperlink ref="B322" r:id="rId321" display="photo"/>
    <hyperlink ref="B323" r:id="rId322" display="photo"/>
    <hyperlink ref="B324" r:id="rId323" display="photo"/>
    <hyperlink ref="B325" r:id="rId324" display="photo"/>
    <hyperlink ref="B326" r:id="rId325" display="photo"/>
    <hyperlink ref="B327" r:id="rId326" display="photo"/>
    <hyperlink ref="B328" r:id="rId327" display="photo"/>
    <hyperlink ref="B329" r:id="rId328" display="photo"/>
    <hyperlink ref="B330" r:id="rId329" display="photo"/>
    <hyperlink ref="B331" r:id="rId330" display="photo"/>
    <hyperlink ref="B332" r:id="rId331" display="photo"/>
    <hyperlink ref="B333" r:id="rId332" display="photo"/>
    <hyperlink ref="B334" r:id="rId333" display="photo"/>
    <hyperlink ref="B335" r:id="rId334" display="photo"/>
    <hyperlink ref="B336" r:id="rId335" display="photo"/>
    <hyperlink ref="B337" r:id="rId336" display="photo"/>
    <hyperlink ref="B338" r:id="rId337" display="photo"/>
    <hyperlink ref="B339" r:id="rId338" display="photo"/>
    <hyperlink ref="B340" r:id="rId339" display="photo"/>
    <hyperlink ref="B341" r:id="rId340" display="photo"/>
    <hyperlink ref="B342" r:id="rId341" display="photo"/>
    <hyperlink ref="B343" r:id="rId342" display="photo"/>
    <hyperlink ref="B344" r:id="rId343" display="photo"/>
    <hyperlink ref="B345" r:id="rId344" display="photo"/>
    <hyperlink ref="B346" r:id="rId345" display="photo"/>
    <hyperlink ref="B347" r:id="rId346" display="photo"/>
    <hyperlink ref="B348" r:id="rId347" display="photo"/>
    <hyperlink ref="B349" r:id="rId348" display="photo"/>
    <hyperlink ref="B350" r:id="rId349" display="photo"/>
    <hyperlink ref="B351" r:id="rId350" display="photo"/>
    <hyperlink ref="B352" r:id="rId351" display="photo"/>
    <hyperlink ref="B353" r:id="rId352" display="photo"/>
    <hyperlink ref="B354" r:id="rId353" display="photo"/>
    <hyperlink ref="B355" r:id="rId354" display="photo"/>
    <hyperlink ref="B356" r:id="rId355" display="photo"/>
    <hyperlink ref="B357" r:id="rId356" display="photo"/>
    <hyperlink ref="B358" r:id="rId357" display="photo"/>
    <hyperlink ref="B359" r:id="rId358" display="photo"/>
    <hyperlink ref="B360" r:id="rId359" display="photo"/>
    <hyperlink ref="B361" r:id="rId360" display="photo"/>
    <hyperlink ref="B362" r:id="rId361" display="photo"/>
    <hyperlink ref="B363" r:id="rId362" display="photo"/>
    <hyperlink ref="B364" r:id="rId363" display="photo"/>
    <hyperlink ref="B365" r:id="rId364" display="photo"/>
    <hyperlink ref="B366" r:id="rId365" display="photo"/>
    <hyperlink ref="B367" r:id="rId366" display="photo"/>
    <hyperlink ref="B368" r:id="rId367" display="photo"/>
    <hyperlink ref="B369" r:id="rId368" display="photo"/>
    <hyperlink ref="B370" r:id="rId369" display="photo"/>
    <hyperlink ref="B371" r:id="rId370" display="photo"/>
    <hyperlink ref="B372" r:id="rId371" display="photo"/>
    <hyperlink ref="B373" r:id="rId372" display="photo"/>
    <hyperlink ref="B374" r:id="rId373" display="photo"/>
    <hyperlink ref="B375" r:id="rId374" display="photo"/>
    <hyperlink ref="B376" r:id="rId375" display="photo"/>
    <hyperlink ref="B377" r:id="rId376" display="photo"/>
    <hyperlink ref="B378" r:id="rId377" display="photo"/>
    <hyperlink ref="B379" r:id="rId378" display="photo"/>
    <hyperlink ref="B380" r:id="rId379" display="photo"/>
    <hyperlink ref="B381" r:id="rId380" display="photo"/>
    <hyperlink ref="B382" r:id="rId381" display="photo"/>
    <hyperlink ref="B383" r:id="rId382" display="photo"/>
    <hyperlink ref="B384" r:id="rId383" display="photo"/>
    <hyperlink ref="B385" r:id="rId384" display="photo"/>
    <hyperlink ref="B386" r:id="rId385" display="photo"/>
    <hyperlink ref="B387" r:id="rId386" display="photo"/>
    <hyperlink ref="B388" r:id="rId387" display="photo"/>
    <hyperlink ref="B389" r:id="rId388" display="photo"/>
    <hyperlink ref="B390" r:id="rId389" display="photo"/>
    <hyperlink ref="B391" r:id="rId390" display="photo"/>
    <hyperlink ref="B392" r:id="rId391" display="photo"/>
    <hyperlink ref="B393" r:id="rId392" display="photo"/>
    <hyperlink ref="B394" r:id="rId393" display="photo"/>
    <hyperlink ref="B395" r:id="rId394" display="photo"/>
    <hyperlink ref="B396" r:id="rId395" display="photo"/>
    <hyperlink ref="B397" r:id="rId396" display="photo"/>
    <hyperlink ref="B398" r:id="rId397" display="photo"/>
    <hyperlink ref="B399" r:id="rId398" display="photo"/>
    <hyperlink ref="B400" r:id="rId399" display="photo"/>
    <hyperlink ref="B401" r:id="rId400" display="photo"/>
    <hyperlink ref="B402" r:id="rId401" display="photo"/>
    <hyperlink ref="B403" r:id="rId402" display="photo"/>
    <hyperlink ref="B404" r:id="rId403" display="photo"/>
    <hyperlink ref="B405" r:id="rId404" display="photo"/>
    <hyperlink ref="B406" r:id="rId405" display="photo"/>
    <hyperlink ref="B407" r:id="rId406" display="photo"/>
    <hyperlink ref="B408" r:id="rId407" display="photo"/>
    <hyperlink ref="B409" r:id="rId408" display="photo"/>
    <hyperlink ref="B410" r:id="rId409" display="photo"/>
    <hyperlink ref="B411" r:id="rId410" display="photo"/>
    <hyperlink ref="B412" r:id="rId411" display="photo"/>
    <hyperlink ref="B413" r:id="rId412" display="photo"/>
    <hyperlink ref="B414" r:id="rId413" display="photo"/>
    <hyperlink ref="B415" r:id="rId414" display="photo"/>
    <hyperlink ref="B416" r:id="rId415" display="photo"/>
    <hyperlink ref="B417" r:id="rId416" display="photo"/>
    <hyperlink ref="B418" r:id="rId417" display="photo"/>
    <hyperlink ref="B419" r:id="rId418" display="photo"/>
    <hyperlink ref="B420" r:id="rId419" display="photo"/>
    <hyperlink ref="B421" r:id="rId420" display="photo"/>
    <hyperlink ref="B422" r:id="rId421" display="photo"/>
    <hyperlink ref="B423" r:id="rId422" display="photo"/>
    <hyperlink ref="B424" r:id="rId423" display="photo"/>
    <hyperlink ref="B425" r:id="rId424" display="photo"/>
    <hyperlink ref="B426" r:id="rId425" display="photo"/>
    <hyperlink ref="B427" r:id="rId426" display="photo"/>
    <hyperlink ref="B428" r:id="rId427" display="photo"/>
    <hyperlink ref="B429" r:id="rId428" display="photo"/>
    <hyperlink ref="B430" r:id="rId429" display="photo"/>
    <hyperlink ref="B431" r:id="rId430" display="photo"/>
    <hyperlink ref="B432" r:id="rId431" display="photo"/>
    <hyperlink ref="B433" r:id="rId432" display="photo"/>
    <hyperlink ref="B434" r:id="rId433" display="photo"/>
    <hyperlink ref="B435" r:id="rId434" display="photo"/>
    <hyperlink ref="B436" r:id="rId435" display="photo"/>
    <hyperlink ref="B437" r:id="rId436" display="photo"/>
    <hyperlink ref="B438" r:id="rId437" display="photo"/>
    <hyperlink ref="B439" r:id="rId438" display="photo"/>
    <hyperlink ref="B440" r:id="rId439" display="photo"/>
    <hyperlink ref="B441" r:id="rId440" display="photo"/>
    <hyperlink ref="B442" r:id="rId441" display="photo"/>
    <hyperlink ref="B443" r:id="rId442" display="photo"/>
    <hyperlink ref="B444" r:id="rId443" display="photo"/>
    <hyperlink ref="B445" r:id="rId444" display="photo"/>
    <hyperlink ref="B446" r:id="rId445" display="photo"/>
    <hyperlink ref="B447" r:id="rId446" display="photo"/>
    <hyperlink ref="B448" r:id="rId447" display="photo"/>
    <hyperlink ref="B449" r:id="rId448" display="photo"/>
    <hyperlink ref="B450" r:id="rId449" display="photo"/>
    <hyperlink ref="B451" r:id="rId450" display="photo"/>
    <hyperlink ref="B452" r:id="rId451" display="photo"/>
    <hyperlink ref="B453" r:id="rId452" display="pho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5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40"/>
    <col collapsed="false" customWidth="true" hidden="false" outlineLevel="0" max="4" min="3" style="1" width="30"/>
  </cols>
  <sheetData>
    <row r="1" customFormat="false" ht="15" hidden="false" customHeight="true" outlineLevel="0" collapsed="false">
      <c r="A1" s="18" t="s">
        <v>635</v>
      </c>
      <c r="B1" s="18" t="s">
        <v>636</v>
      </c>
      <c r="C1" s="18" t="s">
        <v>637</v>
      </c>
      <c r="D1" s="18" t="s">
        <v>638</v>
      </c>
    </row>
    <row r="2" customFormat="false" ht="23.25" hidden="false" customHeight="true" outlineLevel="0" collapsed="false">
      <c r="A2" s="14" t="s">
        <v>639</v>
      </c>
      <c r="B2" s="14"/>
      <c r="C2" s="19" t="s">
        <v>640</v>
      </c>
      <c r="D2" s="14"/>
    </row>
    <row r="3" customFormat="false" ht="23.25" hidden="false" customHeight="true" outlineLevel="0" collapsed="false">
      <c r="A3" s="14" t="s">
        <v>395</v>
      </c>
      <c r="B3" s="14" t="s">
        <v>641</v>
      </c>
      <c r="C3" s="14" t="s">
        <v>642</v>
      </c>
      <c r="D3" s="14"/>
    </row>
    <row r="4" customFormat="false" ht="23.25" hidden="false" customHeight="true" outlineLevel="0" collapsed="false">
      <c r="A4" s="14" t="s">
        <v>643</v>
      </c>
      <c r="B4" s="14" t="s">
        <v>644</v>
      </c>
      <c r="C4" s="14" t="s">
        <v>642</v>
      </c>
      <c r="D4" s="14"/>
    </row>
    <row r="5" customFormat="false" ht="15" hidden="false" customHeight="true" outlineLevel="0" collapsed="false">
      <c r="A5" s="14" t="s">
        <v>240</v>
      </c>
      <c r="B5" s="14" t="s">
        <v>645</v>
      </c>
      <c r="C5" s="14" t="s">
        <v>642</v>
      </c>
      <c r="D5" s="14"/>
    </row>
    <row r="6" customFormat="false" ht="15" hidden="false" customHeight="true" outlineLevel="0" collapsed="false">
      <c r="A6" s="14" t="s">
        <v>262</v>
      </c>
      <c r="B6" s="14" t="s">
        <v>646</v>
      </c>
      <c r="C6" s="14" t="s">
        <v>642</v>
      </c>
      <c r="D6" s="14"/>
    </row>
    <row r="7" customFormat="false" ht="15" hidden="false" customHeight="true" outlineLevel="0" collapsed="false">
      <c r="A7" s="14" t="s">
        <v>100</v>
      </c>
      <c r="B7" s="14" t="s">
        <v>647</v>
      </c>
      <c r="C7" s="14" t="s">
        <v>642</v>
      </c>
      <c r="D7" s="14"/>
    </row>
    <row r="8" customFormat="false" ht="15" hidden="false" customHeight="true" outlineLevel="0" collapsed="false">
      <c r="A8" s="14" t="s">
        <v>648</v>
      </c>
      <c r="B8" s="14" t="s">
        <v>649</v>
      </c>
      <c r="C8" s="20" t="s">
        <v>650</v>
      </c>
      <c r="D8" s="14"/>
    </row>
    <row r="9" customFormat="false" ht="15" hidden="false" customHeight="true" outlineLevel="0" collapsed="false">
      <c r="A9" s="14" t="s">
        <v>267</v>
      </c>
      <c r="B9" s="14" t="s">
        <v>651</v>
      </c>
      <c r="C9" s="14" t="s">
        <v>642</v>
      </c>
      <c r="D9" s="14"/>
    </row>
    <row r="10" customFormat="false" ht="15" hidden="false" customHeight="true" outlineLevel="0" collapsed="false">
      <c r="A10" s="14" t="s">
        <v>268</v>
      </c>
      <c r="B10" s="14" t="s">
        <v>652</v>
      </c>
      <c r="C10" s="14" t="s">
        <v>642</v>
      </c>
      <c r="D10" s="14"/>
    </row>
    <row r="11" customFormat="false" ht="15" hidden="false" customHeight="true" outlineLevel="0" collapsed="false">
      <c r="A11" s="14" t="s">
        <v>653</v>
      </c>
      <c r="B11" s="14" t="s">
        <v>654</v>
      </c>
      <c r="C11" s="14" t="s">
        <v>642</v>
      </c>
      <c r="D11" s="14"/>
    </row>
    <row r="12" customFormat="false" ht="15" hidden="false" customHeight="true" outlineLevel="0" collapsed="false">
      <c r="A12" s="14" t="s">
        <v>270</v>
      </c>
      <c r="B12" s="14" t="s">
        <v>655</v>
      </c>
      <c r="C12" s="14" t="s">
        <v>642</v>
      </c>
      <c r="D12" s="14"/>
    </row>
    <row r="13" customFormat="false" ht="23.25" hidden="false" customHeight="true" outlineLevel="0" collapsed="false">
      <c r="A13" s="14" t="s">
        <v>656</v>
      </c>
      <c r="B13" s="14" t="s">
        <v>657</v>
      </c>
      <c r="C13" s="14" t="s">
        <v>642</v>
      </c>
      <c r="D13" s="14"/>
    </row>
    <row r="14" customFormat="false" ht="15" hidden="false" customHeight="true" outlineLevel="0" collapsed="false">
      <c r="A14" s="14" t="s">
        <v>278</v>
      </c>
      <c r="B14" s="14" t="s">
        <v>658</v>
      </c>
      <c r="C14" s="14" t="s">
        <v>642</v>
      </c>
      <c r="D14" s="14"/>
    </row>
    <row r="15" customFormat="false" ht="15" hidden="false" customHeight="true" outlineLevel="0" collapsed="false">
      <c r="A15" s="14" t="s">
        <v>659</v>
      </c>
      <c r="B15" s="14" t="s">
        <v>660</v>
      </c>
      <c r="C15" s="14" t="s">
        <v>642</v>
      </c>
      <c r="D15" s="14"/>
    </row>
    <row r="16" customFormat="false" ht="15" hidden="false" customHeight="true" outlineLevel="0" collapsed="false">
      <c r="A16" s="14" t="s">
        <v>160</v>
      </c>
      <c r="B16" s="14" t="s">
        <v>661</v>
      </c>
      <c r="C16" s="14" t="s">
        <v>642</v>
      </c>
      <c r="D16" s="14"/>
    </row>
    <row r="17" customFormat="false" ht="15" hidden="false" customHeight="true" outlineLevel="0" collapsed="false">
      <c r="A17" s="14" t="s">
        <v>279</v>
      </c>
      <c r="B17" s="14" t="s">
        <v>662</v>
      </c>
      <c r="C17" s="14" t="s">
        <v>642</v>
      </c>
      <c r="D17" s="14"/>
    </row>
    <row r="18" customFormat="false" ht="15" hidden="false" customHeight="true" outlineLevel="0" collapsed="false">
      <c r="A18" s="14" t="s">
        <v>280</v>
      </c>
      <c r="B18" s="14" t="s">
        <v>663</v>
      </c>
      <c r="C18" s="14" t="s">
        <v>642</v>
      </c>
      <c r="D18" s="14"/>
    </row>
    <row r="19" customFormat="false" ht="15" hidden="false" customHeight="true" outlineLevel="0" collapsed="false">
      <c r="A19" s="14" t="s">
        <v>107</v>
      </c>
      <c r="B19" s="14" t="s">
        <v>664</v>
      </c>
      <c r="C19" s="14" t="s">
        <v>642</v>
      </c>
      <c r="D19" s="14"/>
    </row>
    <row r="20" customFormat="false" ht="15" hidden="false" customHeight="true" outlineLevel="0" collapsed="false">
      <c r="A20" s="14" t="s">
        <v>283</v>
      </c>
      <c r="B20" s="14" t="s">
        <v>665</v>
      </c>
      <c r="C20" s="14" t="s">
        <v>642</v>
      </c>
      <c r="D20" s="14"/>
    </row>
    <row r="21" customFormat="false" ht="15" hidden="false" customHeight="true" outlineLevel="0" collapsed="false">
      <c r="A21" s="14" t="s">
        <v>666</v>
      </c>
      <c r="B21" s="14" t="s">
        <v>667</v>
      </c>
      <c r="C21" s="14" t="s">
        <v>642</v>
      </c>
      <c r="D21" s="14"/>
    </row>
    <row r="22" customFormat="false" ht="15" hidden="false" customHeight="true" outlineLevel="0" collapsed="false">
      <c r="A22" s="14" t="s">
        <v>668</v>
      </c>
      <c r="B22" s="14" t="s">
        <v>669</v>
      </c>
      <c r="C22" s="14" t="s">
        <v>642</v>
      </c>
      <c r="D22" s="14"/>
    </row>
    <row r="23" customFormat="false" ht="15" hidden="false" customHeight="true" outlineLevel="0" collapsed="false">
      <c r="A23" s="14" t="s">
        <v>670</v>
      </c>
      <c r="B23" s="14" t="s">
        <v>671</v>
      </c>
      <c r="C23" s="14" t="s">
        <v>642</v>
      </c>
      <c r="D23" s="14"/>
    </row>
    <row r="24" customFormat="false" ht="15" hidden="false" customHeight="true" outlineLevel="0" collapsed="false">
      <c r="A24" s="14" t="s">
        <v>672</v>
      </c>
      <c r="B24" s="14" t="s">
        <v>673</v>
      </c>
      <c r="C24" s="14" t="s">
        <v>642</v>
      </c>
      <c r="D24" s="14"/>
    </row>
    <row r="25" customFormat="false" ht="15" hidden="false" customHeight="true" outlineLevel="0" collapsed="false">
      <c r="A25" s="14" t="s">
        <v>674</v>
      </c>
      <c r="B25" s="14" t="s">
        <v>675</v>
      </c>
      <c r="C25" s="14" t="s">
        <v>642</v>
      </c>
      <c r="D25" s="14"/>
    </row>
    <row r="26" customFormat="false" ht="15" hidden="false" customHeight="true" outlineLevel="0" collapsed="false">
      <c r="A26" s="14" t="s">
        <v>676</v>
      </c>
      <c r="B26" s="14" t="s">
        <v>677</v>
      </c>
      <c r="C26" s="14" t="s">
        <v>642</v>
      </c>
      <c r="D26" s="14"/>
    </row>
    <row r="27" customFormat="false" ht="15" hidden="false" customHeight="true" outlineLevel="0" collapsed="false">
      <c r="A27" s="14" t="s">
        <v>678</v>
      </c>
      <c r="B27" s="14" t="s">
        <v>679</v>
      </c>
      <c r="C27" s="14" t="s">
        <v>642</v>
      </c>
      <c r="D27" s="14"/>
    </row>
    <row r="28" customFormat="false" ht="23.25" hidden="false" customHeight="true" outlineLevel="0" collapsed="false">
      <c r="A28" s="14" t="s">
        <v>296</v>
      </c>
      <c r="B28" s="14" t="s">
        <v>680</v>
      </c>
      <c r="C28" s="14" t="s">
        <v>642</v>
      </c>
      <c r="D28" s="14"/>
    </row>
    <row r="29" customFormat="false" ht="15" hidden="false" customHeight="true" outlineLevel="0" collapsed="false">
      <c r="A29" s="14" t="s">
        <v>681</v>
      </c>
      <c r="B29" s="14" t="s">
        <v>682</v>
      </c>
      <c r="C29" s="14" t="s">
        <v>642</v>
      </c>
      <c r="D29" s="14"/>
    </row>
    <row r="30" customFormat="false" ht="15" hidden="false" customHeight="true" outlineLevel="0" collapsed="false">
      <c r="A30" s="14" t="s">
        <v>683</v>
      </c>
      <c r="B30" s="14" t="s">
        <v>684</v>
      </c>
      <c r="C30" s="14" t="s">
        <v>642</v>
      </c>
      <c r="D30" s="14"/>
    </row>
    <row r="31" customFormat="false" ht="15" hidden="false" customHeight="true" outlineLevel="0" collapsed="false">
      <c r="A31" s="14" t="s">
        <v>685</v>
      </c>
      <c r="B31" s="14" t="s">
        <v>686</v>
      </c>
      <c r="C31" s="14" t="s">
        <v>642</v>
      </c>
      <c r="D31" s="14"/>
    </row>
    <row r="32" customFormat="false" ht="15" hidden="false" customHeight="true" outlineLevel="0" collapsed="false">
      <c r="A32" s="14" t="s">
        <v>687</v>
      </c>
      <c r="B32" s="14" t="s">
        <v>688</v>
      </c>
      <c r="C32" s="14" t="s">
        <v>642</v>
      </c>
      <c r="D32" s="14"/>
    </row>
    <row r="33" customFormat="false" ht="15" hidden="false" customHeight="true" outlineLevel="0" collapsed="false">
      <c r="A33" s="14" t="s">
        <v>689</v>
      </c>
      <c r="B33" s="14" t="s">
        <v>690</v>
      </c>
      <c r="C33" s="20" t="s">
        <v>650</v>
      </c>
      <c r="D33" s="14"/>
    </row>
    <row r="34" customFormat="false" ht="15" hidden="false" customHeight="true" outlineLevel="0" collapsed="false">
      <c r="A34" s="14" t="s">
        <v>691</v>
      </c>
      <c r="B34" s="14" t="s">
        <v>692</v>
      </c>
      <c r="C34" s="20" t="s">
        <v>650</v>
      </c>
      <c r="D34" s="14"/>
    </row>
    <row r="35" customFormat="false" ht="15" hidden="false" customHeight="true" outlineLevel="0" collapsed="false">
      <c r="A35" s="14" t="s">
        <v>693</v>
      </c>
      <c r="B35" s="14" t="s">
        <v>694</v>
      </c>
      <c r="C35" s="14" t="s">
        <v>642</v>
      </c>
      <c r="D35" s="14"/>
    </row>
    <row r="36" customFormat="false" ht="15" hidden="false" customHeight="true" outlineLevel="0" collapsed="false">
      <c r="A36" s="14" t="s">
        <v>695</v>
      </c>
      <c r="B36" s="14" t="s">
        <v>696</v>
      </c>
      <c r="C36" s="14" t="s">
        <v>642</v>
      </c>
      <c r="D36" s="14"/>
    </row>
    <row r="37" customFormat="false" ht="15" hidden="false" customHeight="true" outlineLevel="0" collapsed="false">
      <c r="A37" s="14" t="s">
        <v>307</v>
      </c>
      <c r="B37" s="14" t="s">
        <v>697</v>
      </c>
      <c r="C37" s="14" t="s">
        <v>642</v>
      </c>
      <c r="D37" s="14"/>
    </row>
    <row r="38" customFormat="false" ht="23.25" hidden="false" customHeight="true" outlineLevel="0" collapsed="false">
      <c r="A38" s="14" t="s">
        <v>698</v>
      </c>
      <c r="B38" s="14" t="s">
        <v>699</v>
      </c>
      <c r="C38" s="14" t="s">
        <v>642</v>
      </c>
      <c r="D38" s="14"/>
    </row>
    <row r="39" customFormat="false" ht="15" hidden="false" customHeight="true" outlineLevel="0" collapsed="false">
      <c r="A39" s="14" t="s">
        <v>700</v>
      </c>
      <c r="B39" s="14" t="s">
        <v>701</v>
      </c>
      <c r="C39" s="14" t="s">
        <v>642</v>
      </c>
      <c r="D39" s="14"/>
    </row>
    <row r="40" customFormat="false" ht="15" hidden="false" customHeight="true" outlineLevel="0" collapsed="false">
      <c r="A40" s="14" t="s">
        <v>702</v>
      </c>
      <c r="B40" s="14" t="s">
        <v>703</v>
      </c>
      <c r="C40" s="14" t="s">
        <v>642</v>
      </c>
      <c r="D40" s="14"/>
    </row>
    <row r="41" customFormat="false" ht="15" hidden="false" customHeight="true" outlineLevel="0" collapsed="false">
      <c r="A41" s="14" t="s">
        <v>704</v>
      </c>
      <c r="B41" s="14" t="s">
        <v>705</v>
      </c>
      <c r="C41" s="14" t="s">
        <v>642</v>
      </c>
      <c r="D41" s="14"/>
    </row>
    <row r="42" customFormat="false" ht="15" hidden="false" customHeight="true" outlineLevel="0" collapsed="false">
      <c r="A42" s="14" t="s">
        <v>706</v>
      </c>
      <c r="B42" s="14" t="s">
        <v>707</v>
      </c>
      <c r="C42" s="14" t="s">
        <v>642</v>
      </c>
      <c r="D42" s="14"/>
    </row>
    <row r="43" customFormat="false" ht="15" hidden="false" customHeight="true" outlineLevel="0" collapsed="false">
      <c r="A43" s="14" t="s">
        <v>708</v>
      </c>
      <c r="B43" s="14" t="s">
        <v>709</v>
      </c>
      <c r="C43" s="14" t="s">
        <v>642</v>
      </c>
      <c r="D43" s="14"/>
    </row>
    <row r="44" customFormat="false" ht="15" hidden="false" customHeight="true" outlineLevel="0" collapsed="false">
      <c r="A44" s="14" t="s">
        <v>329</v>
      </c>
      <c r="B44" s="14" t="s">
        <v>710</v>
      </c>
      <c r="C44" s="14" t="s">
        <v>642</v>
      </c>
      <c r="D44" s="14"/>
    </row>
    <row r="45" customFormat="false" ht="15" hidden="false" customHeight="true" outlineLevel="0" collapsed="false">
      <c r="A45" s="14" t="s">
        <v>711</v>
      </c>
      <c r="B45" s="14" t="s">
        <v>712</v>
      </c>
      <c r="C45" s="14" t="s">
        <v>642</v>
      </c>
      <c r="D45" s="14"/>
    </row>
    <row r="46" customFormat="false" ht="15" hidden="false" customHeight="true" outlineLevel="0" collapsed="false">
      <c r="A46" s="14" t="s">
        <v>713</v>
      </c>
      <c r="B46" s="14" t="s">
        <v>714</v>
      </c>
      <c r="C46" s="14" t="s">
        <v>642</v>
      </c>
      <c r="D46" s="14"/>
    </row>
    <row r="47" customFormat="false" ht="15" hidden="false" customHeight="true" outlineLevel="0" collapsed="false">
      <c r="A47" s="14" t="s">
        <v>715</v>
      </c>
      <c r="B47" s="14" t="s">
        <v>716</v>
      </c>
      <c r="C47" s="14" t="s">
        <v>642</v>
      </c>
      <c r="D47" s="14"/>
    </row>
    <row r="48" customFormat="false" ht="15" hidden="false" customHeight="true" outlineLevel="0" collapsed="false">
      <c r="A48" s="14" t="s">
        <v>717</v>
      </c>
      <c r="B48" s="14" t="s">
        <v>718</v>
      </c>
      <c r="C48" s="14" t="s">
        <v>642</v>
      </c>
      <c r="D48" s="14"/>
    </row>
    <row r="49" customFormat="false" ht="15" hidden="false" customHeight="true" outlineLevel="0" collapsed="false">
      <c r="A49" s="14" t="s">
        <v>324</v>
      </c>
      <c r="B49" s="14" t="s">
        <v>719</v>
      </c>
      <c r="C49" s="14" t="s">
        <v>642</v>
      </c>
      <c r="D49" s="14"/>
    </row>
    <row r="50" customFormat="false" ht="15" hidden="false" customHeight="true" outlineLevel="0" collapsed="false">
      <c r="A50" s="14" t="s">
        <v>720</v>
      </c>
      <c r="B50" s="14" t="s">
        <v>710</v>
      </c>
      <c r="C50" s="14" t="s">
        <v>642</v>
      </c>
      <c r="D50" s="14"/>
    </row>
    <row r="51" customFormat="false" ht="15" hidden="false" customHeight="true" outlineLevel="0" collapsed="false">
      <c r="A51" s="14" t="s">
        <v>721</v>
      </c>
      <c r="B51" s="14" t="s">
        <v>722</v>
      </c>
      <c r="C51" s="14" t="s">
        <v>642</v>
      </c>
      <c r="D51" s="14"/>
    </row>
    <row r="52" customFormat="false" ht="15" hidden="false" customHeight="true" outlineLevel="0" collapsed="false">
      <c r="A52" s="14" t="s">
        <v>334</v>
      </c>
      <c r="B52" s="14" t="s">
        <v>723</v>
      </c>
      <c r="C52" s="14" t="s">
        <v>642</v>
      </c>
      <c r="D52" s="14"/>
    </row>
    <row r="53" customFormat="false" ht="15" hidden="false" customHeight="true" outlineLevel="0" collapsed="false">
      <c r="A53" s="14" t="s">
        <v>58</v>
      </c>
      <c r="B53" s="14" t="s">
        <v>724</v>
      </c>
      <c r="C53" s="14" t="s">
        <v>642</v>
      </c>
      <c r="D53" s="14"/>
    </row>
    <row r="54" customFormat="false" ht="15" hidden="false" customHeight="true" outlineLevel="0" collapsed="false">
      <c r="A54" s="14" t="s">
        <v>725</v>
      </c>
      <c r="B54" s="14" t="s">
        <v>726</v>
      </c>
      <c r="C54" s="14" t="s">
        <v>642</v>
      </c>
      <c r="D54" s="14"/>
    </row>
    <row r="55" customFormat="false" ht="15" hidden="false" customHeight="true" outlineLevel="0" collapsed="false">
      <c r="A55" s="14" t="s">
        <v>727</v>
      </c>
      <c r="B55" s="14" t="s">
        <v>728</v>
      </c>
      <c r="C55" s="14" t="s">
        <v>642</v>
      </c>
      <c r="D55" s="14"/>
    </row>
    <row r="56" customFormat="false" ht="15" hidden="false" customHeight="true" outlineLevel="0" collapsed="false">
      <c r="A56" s="14" t="s">
        <v>729</v>
      </c>
      <c r="B56" s="14" t="s">
        <v>730</v>
      </c>
      <c r="C56" s="20" t="s">
        <v>650</v>
      </c>
      <c r="D56" s="14"/>
    </row>
    <row r="57" customFormat="false" ht="15" hidden="false" customHeight="true" outlineLevel="0" collapsed="false">
      <c r="A57" s="14" t="s">
        <v>731</v>
      </c>
      <c r="B57" s="14" t="s">
        <v>732</v>
      </c>
      <c r="C57" s="14" t="s">
        <v>642</v>
      </c>
      <c r="D57" s="14"/>
    </row>
    <row r="58" customFormat="false" ht="15" hidden="false" customHeight="true" outlineLevel="0" collapsed="false">
      <c r="A58" s="14" t="s">
        <v>247</v>
      </c>
      <c r="B58" s="14" t="s">
        <v>733</v>
      </c>
      <c r="C58" s="14" t="s">
        <v>642</v>
      </c>
      <c r="D58" s="14"/>
    </row>
    <row r="59" customFormat="false" ht="15" hidden="false" customHeight="true" outlineLevel="0" collapsed="false">
      <c r="A59" s="14" t="s">
        <v>734</v>
      </c>
      <c r="B59" s="14" t="s">
        <v>735</v>
      </c>
      <c r="C59" s="14" t="s">
        <v>642</v>
      </c>
      <c r="D59" s="14"/>
    </row>
    <row r="60" customFormat="false" ht="15" hidden="false" customHeight="true" outlineLevel="0" collapsed="false">
      <c r="A60" s="14" t="s">
        <v>736</v>
      </c>
      <c r="B60" s="14" t="s">
        <v>737</v>
      </c>
      <c r="C60" s="14" t="s">
        <v>642</v>
      </c>
      <c r="D60" s="14"/>
    </row>
    <row r="61" customFormat="false" ht="15" hidden="false" customHeight="true" outlineLevel="0" collapsed="false">
      <c r="A61" s="14" t="s">
        <v>738</v>
      </c>
      <c r="B61" s="14" t="s">
        <v>739</v>
      </c>
      <c r="C61" s="14" t="s">
        <v>642</v>
      </c>
      <c r="D61" s="14"/>
    </row>
    <row r="62" customFormat="false" ht="15" hidden="false" customHeight="true" outlineLevel="0" collapsed="false">
      <c r="A62" s="14" t="s">
        <v>248</v>
      </c>
      <c r="B62" s="14" t="s">
        <v>740</v>
      </c>
      <c r="C62" s="14" t="s">
        <v>642</v>
      </c>
      <c r="D62" s="14"/>
    </row>
    <row r="63" customFormat="false" ht="15" hidden="false" customHeight="true" outlineLevel="0" collapsed="false">
      <c r="A63" s="14" t="s">
        <v>741</v>
      </c>
      <c r="B63" s="14" t="s">
        <v>742</v>
      </c>
      <c r="C63" s="14" t="s">
        <v>642</v>
      </c>
      <c r="D63" s="14"/>
    </row>
    <row r="64" customFormat="false" ht="15" hidden="false" customHeight="true" outlineLevel="0" collapsed="false">
      <c r="A64" s="14" t="s">
        <v>743</v>
      </c>
      <c r="B64" s="14" t="s">
        <v>744</v>
      </c>
      <c r="C64" s="14" t="s">
        <v>642</v>
      </c>
      <c r="D64" s="14"/>
    </row>
    <row r="65" customFormat="false" ht="15" hidden="false" customHeight="true" outlineLevel="0" collapsed="false">
      <c r="A65" s="14" t="s">
        <v>745</v>
      </c>
      <c r="B65" s="14" t="s">
        <v>746</v>
      </c>
      <c r="C65" s="14" t="s">
        <v>642</v>
      </c>
      <c r="D65" s="14"/>
    </row>
    <row r="66" customFormat="false" ht="15" hidden="false" customHeight="true" outlineLevel="0" collapsed="false">
      <c r="A66" s="14" t="s">
        <v>747</v>
      </c>
      <c r="B66" s="14" t="s">
        <v>748</v>
      </c>
      <c r="C66" s="14" t="s">
        <v>642</v>
      </c>
      <c r="D66" s="14"/>
    </row>
    <row r="67" customFormat="false" ht="15" hidden="false" customHeight="true" outlineLevel="0" collapsed="false">
      <c r="A67" s="14" t="s">
        <v>345</v>
      </c>
      <c r="B67" s="14" t="s">
        <v>749</v>
      </c>
      <c r="C67" s="14" t="s">
        <v>642</v>
      </c>
      <c r="D67" s="14"/>
    </row>
    <row r="68" customFormat="false" ht="15" hidden="false" customHeight="true" outlineLevel="0" collapsed="false">
      <c r="A68" s="14" t="s">
        <v>750</v>
      </c>
      <c r="B68" s="14" t="s">
        <v>751</v>
      </c>
      <c r="C68" s="14" t="s">
        <v>642</v>
      </c>
      <c r="D68" s="14"/>
    </row>
    <row r="69" customFormat="false" ht="23.25" hidden="false" customHeight="true" outlineLevel="0" collapsed="false">
      <c r="A69" s="14" t="s">
        <v>752</v>
      </c>
      <c r="B69" s="14"/>
      <c r="C69" s="19" t="s">
        <v>640</v>
      </c>
      <c r="D69" s="14"/>
    </row>
    <row r="70" customFormat="false" ht="15" hidden="false" customHeight="true" outlineLevel="0" collapsed="false">
      <c r="A70" s="14" t="s">
        <v>753</v>
      </c>
      <c r="B70" s="14" t="s">
        <v>754</v>
      </c>
      <c r="C70" s="14" t="s">
        <v>642</v>
      </c>
      <c r="D70" s="14"/>
    </row>
    <row r="71" customFormat="false" ht="23.25" hidden="false" customHeight="true" outlineLevel="0" collapsed="false">
      <c r="A71" s="14" t="s">
        <v>126</v>
      </c>
      <c r="B71" s="14" t="s">
        <v>755</v>
      </c>
      <c r="C71" s="14" t="s">
        <v>642</v>
      </c>
      <c r="D71" s="14"/>
    </row>
    <row r="72" customFormat="false" ht="15" hidden="false" customHeight="true" outlineLevel="0" collapsed="false">
      <c r="A72" s="14" t="s">
        <v>756</v>
      </c>
      <c r="B72" s="14" t="s">
        <v>757</v>
      </c>
      <c r="C72" s="14" t="s">
        <v>642</v>
      </c>
      <c r="D72" s="14"/>
    </row>
    <row r="73" customFormat="false" ht="15" hidden="false" customHeight="true" outlineLevel="0" collapsed="false">
      <c r="A73" s="14" t="s">
        <v>758</v>
      </c>
      <c r="B73" s="14" t="s">
        <v>759</v>
      </c>
      <c r="C73" s="14" t="s">
        <v>642</v>
      </c>
      <c r="D73" s="14"/>
    </row>
    <row r="74" customFormat="false" ht="23.25" hidden="false" customHeight="true" outlineLevel="0" collapsed="false">
      <c r="A74" s="14" t="s">
        <v>480</v>
      </c>
      <c r="B74" s="14" t="s">
        <v>760</v>
      </c>
      <c r="C74" s="14" t="s">
        <v>642</v>
      </c>
      <c r="D74" s="14"/>
    </row>
    <row r="75" customFormat="false" ht="15" hidden="false" customHeight="true" outlineLevel="0" collapsed="false">
      <c r="A75" s="14" t="s">
        <v>123</v>
      </c>
      <c r="B75" s="14" t="s">
        <v>761</v>
      </c>
      <c r="C75" s="14" t="s">
        <v>642</v>
      </c>
      <c r="D75" s="14"/>
    </row>
    <row r="76" customFormat="false" ht="15" hidden="false" customHeight="true" outlineLevel="0" collapsed="false">
      <c r="A76" s="14" t="s">
        <v>475</v>
      </c>
      <c r="B76" s="14" t="s">
        <v>762</v>
      </c>
      <c r="C76" s="14" t="s">
        <v>642</v>
      </c>
      <c r="D76" s="14"/>
    </row>
    <row r="77" customFormat="false" ht="15" hidden="false" customHeight="true" outlineLevel="0" collapsed="false">
      <c r="A77" s="14" t="s">
        <v>474</v>
      </c>
      <c r="B77" s="14" t="s">
        <v>763</v>
      </c>
      <c r="C77" s="14" t="s">
        <v>642</v>
      </c>
      <c r="D77" s="14"/>
    </row>
    <row r="78" customFormat="false" ht="15" hidden="false" customHeight="true" outlineLevel="0" collapsed="false">
      <c r="A78" s="14" t="s">
        <v>471</v>
      </c>
      <c r="B78" s="14" t="s">
        <v>764</v>
      </c>
      <c r="C78" s="14" t="s">
        <v>642</v>
      </c>
      <c r="D78" s="14"/>
    </row>
    <row r="79" customFormat="false" ht="15" hidden="false" customHeight="true" outlineLevel="0" collapsed="false">
      <c r="A79" s="14" t="s">
        <v>765</v>
      </c>
      <c r="B79" s="14" t="s">
        <v>766</v>
      </c>
      <c r="C79" s="14" t="s">
        <v>642</v>
      </c>
      <c r="D79" s="14"/>
    </row>
    <row r="80" customFormat="false" ht="23.25" hidden="false" customHeight="true" outlineLevel="0" collapsed="false">
      <c r="A80" s="14" t="s">
        <v>767</v>
      </c>
      <c r="B80" s="14" t="s">
        <v>768</v>
      </c>
      <c r="C80" s="14" t="s">
        <v>642</v>
      </c>
      <c r="D80" s="14"/>
    </row>
    <row r="81" customFormat="false" ht="15" hidden="false" customHeight="true" outlineLevel="0" collapsed="false">
      <c r="A81" s="14" t="s">
        <v>769</v>
      </c>
      <c r="B81" s="14" t="s">
        <v>770</v>
      </c>
      <c r="C81" s="14" t="s">
        <v>642</v>
      </c>
      <c r="D81" s="14"/>
    </row>
    <row r="82" customFormat="false" ht="15" hidden="false" customHeight="true" outlineLevel="0" collapsed="false">
      <c r="A82" s="14" t="s">
        <v>771</v>
      </c>
      <c r="B82" s="14" t="s">
        <v>772</v>
      </c>
      <c r="C82" s="14" t="s">
        <v>642</v>
      </c>
      <c r="D82" s="14"/>
    </row>
    <row r="83" customFormat="false" ht="15" hidden="false" customHeight="true" outlineLevel="0" collapsed="false">
      <c r="A83" s="14" t="s">
        <v>773</v>
      </c>
      <c r="B83" s="14" t="s">
        <v>774</v>
      </c>
      <c r="C83" s="14" t="s">
        <v>642</v>
      </c>
      <c r="D83" s="14"/>
    </row>
    <row r="84" customFormat="false" ht="15" hidden="false" customHeight="true" outlineLevel="0" collapsed="false">
      <c r="A84" s="14" t="s">
        <v>775</v>
      </c>
      <c r="B84" s="14" t="s">
        <v>776</v>
      </c>
      <c r="C84" s="14" t="s">
        <v>642</v>
      </c>
      <c r="D84" s="14"/>
    </row>
    <row r="85" customFormat="false" ht="15" hidden="false" customHeight="true" outlineLevel="0" collapsed="false">
      <c r="A85" s="14" t="s">
        <v>777</v>
      </c>
      <c r="B85" s="14" t="s">
        <v>778</v>
      </c>
      <c r="C85" s="14" t="s">
        <v>642</v>
      </c>
      <c r="D85" s="14"/>
    </row>
    <row r="86" customFormat="false" ht="15" hidden="false" customHeight="true" outlineLevel="0" collapsed="false">
      <c r="A86" s="14" t="s">
        <v>779</v>
      </c>
      <c r="B86" s="14" t="s">
        <v>780</v>
      </c>
      <c r="C86" s="20" t="s">
        <v>650</v>
      </c>
      <c r="D86" s="14"/>
    </row>
    <row r="87" customFormat="false" ht="15" hidden="false" customHeight="true" outlineLevel="0" collapsed="false">
      <c r="A87" s="14" t="s">
        <v>781</v>
      </c>
      <c r="B87" s="14" t="s">
        <v>782</v>
      </c>
      <c r="C87" s="14" t="s">
        <v>642</v>
      </c>
      <c r="D87" s="14"/>
    </row>
    <row r="88" customFormat="false" ht="15" hidden="false" customHeight="true" outlineLevel="0" collapsed="false">
      <c r="A88" s="14" t="s">
        <v>783</v>
      </c>
      <c r="B88" s="14" t="s">
        <v>784</v>
      </c>
      <c r="C88" s="14" t="s">
        <v>642</v>
      </c>
      <c r="D88" s="14"/>
    </row>
    <row r="89" customFormat="false" ht="15" hidden="false" customHeight="true" outlineLevel="0" collapsed="false">
      <c r="A89" s="14" t="s">
        <v>785</v>
      </c>
      <c r="B89" s="14" t="s">
        <v>786</v>
      </c>
      <c r="C89" s="14" t="s">
        <v>642</v>
      </c>
      <c r="D89" s="14"/>
    </row>
    <row r="90" customFormat="false" ht="15" hidden="false" customHeight="true" outlineLevel="0" collapsed="false">
      <c r="A90" s="14" t="s">
        <v>787</v>
      </c>
      <c r="B90" s="14" t="s">
        <v>788</v>
      </c>
      <c r="C90" s="14" t="s">
        <v>642</v>
      </c>
      <c r="D90" s="14"/>
    </row>
    <row r="91" customFormat="false" ht="15" hidden="false" customHeight="true" outlineLevel="0" collapsed="false">
      <c r="A91" s="14" t="s">
        <v>789</v>
      </c>
      <c r="B91" s="14" t="s">
        <v>790</v>
      </c>
      <c r="C91" s="14" t="s">
        <v>642</v>
      </c>
      <c r="D91" s="14"/>
    </row>
    <row r="92" customFormat="false" ht="15" hidden="false" customHeight="true" outlineLevel="0" collapsed="false">
      <c r="A92" s="14" t="s">
        <v>791</v>
      </c>
      <c r="B92" s="14" t="s">
        <v>792</v>
      </c>
      <c r="C92" s="14" t="s">
        <v>642</v>
      </c>
      <c r="D92" s="14"/>
    </row>
    <row r="93" customFormat="false" ht="23.25" hidden="false" customHeight="true" outlineLevel="0" collapsed="false">
      <c r="A93" s="14" t="s">
        <v>793</v>
      </c>
      <c r="B93" s="14" t="s">
        <v>794</v>
      </c>
      <c r="C93" s="14" t="s">
        <v>642</v>
      </c>
      <c r="D93" s="14"/>
    </row>
    <row r="94" customFormat="false" ht="15" hidden="false" customHeight="true" outlineLevel="0" collapsed="false">
      <c r="A94" s="14" t="s">
        <v>795</v>
      </c>
      <c r="B94" s="14" t="s">
        <v>796</v>
      </c>
      <c r="C94" s="14" t="s">
        <v>642</v>
      </c>
      <c r="D94" s="14"/>
    </row>
    <row r="95" customFormat="false" ht="15" hidden="false" customHeight="true" outlineLevel="0" collapsed="false">
      <c r="A95" s="14" t="s">
        <v>797</v>
      </c>
      <c r="B95" s="14" t="s">
        <v>798</v>
      </c>
      <c r="C95" s="14" t="s">
        <v>642</v>
      </c>
      <c r="D95" s="14"/>
    </row>
    <row r="96" customFormat="false" ht="15" hidden="false" customHeight="true" outlineLevel="0" collapsed="false">
      <c r="A96" s="14" t="s">
        <v>799</v>
      </c>
      <c r="B96" s="14" t="s">
        <v>800</v>
      </c>
      <c r="C96" s="14" t="s">
        <v>642</v>
      </c>
      <c r="D96" s="14"/>
    </row>
    <row r="97" customFormat="false" ht="15" hidden="false" customHeight="true" outlineLevel="0" collapsed="false">
      <c r="A97" s="14" t="s">
        <v>801</v>
      </c>
      <c r="B97" s="14" t="s">
        <v>802</v>
      </c>
      <c r="C97" s="14" t="s">
        <v>642</v>
      </c>
      <c r="D97" s="14"/>
    </row>
    <row r="98" customFormat="false" ht="15" hidden="false" customHeight="true" outlineLevel="0" collapsed="false">
      <c r="A98" s="14" t="s">
        <v>803</v>
      </c>
      <c r="B98" s="14" t="s">
        <v>804</v>
      </c>
      <c r="C98" s="14" t="s">
        <v>642</v>
      </c>
      <c r="D98" s="14"/>
    </row>
    <row r="99" customFormat="false" ht="15" hidden="false" customHeight="true" outlineLevel="0" collapsed="false">
      <c r="A99" s="14" t="s">
        <v>805</v>
      </c>
      <c r="B99" s="14" t="s">
        <v>806</v>
      </c>
      <c r="C99" s="14" t="s">
        <v>642</v>
      </c>
      <c r="D99" s="14"/>
    </row>
    <row r="100" customFormat="false" ht="15" hidden="false" customHeight="true" outlineLevel="0" collapsed="false">
      <c r="A100" s="14" t="s">
        <v>807</v>
      </c>
      <c r="B100" s="14" t="s">
        <v>705</v>
      </c>
      <c r="C100" s="14" t="s">
        <v>642</v>
      </c>
      <c r="D100" s="14"/>
    </row>
    <row r="101" customFormat="false" ht="15" hidden="false" customHeight="true" outlineLevel="0" collapsed="false">
      <c r="A101" s="14" t="s">
        <v>808</v>
      </c>
      <c r="B101" s="14" t="s">
        <v>697</v>
      </c>
      <c r="C101" s="14" t="s">
        <v>642</v>
      </c>
      <c r="D101" s="14"/>
    </row>
    <row r="102" customFormat="false" ht="15" hidden="false" customHeight="true" outlineLevel="0" collapsed="false">
      <c r="A102" s="14" t="s">
        <v>69</v>
      </c>
      <c r="B102" s="14" t="s">
        <v>809</v>
      </c>
      <c r="C102" s="14" t="s">
        <v>642</v>
      </c>
      <c r="D102" s="14"/>
    </row>
    <row r="103" customFormat="false" ht="15" hidden="false" customHeight="true" outlineLevel="0" collapsed="false">
      <c r="A103" s="14" t="s">
        <v>810</v>
      </c>
      <c r="B103" s="14" t="s">
        <v>790</v>
      </c>
      <c r="C103" s="14" t="s">
        <v>642</v>
      </c>
      <c r="D103" s="14"/>
    </row>
    <row r="104" customFormat="false" ht="15" hidden="false" customHeight="true" outlineLevel="0" collapsed="false">
      <c r="A104" s="14" t="s">
        <v>355</v>
      </c>
      <c r="B104" s="14" t="s">
        <v>811</v>
      </c>
      <c r="C104" s="14" t="s">
        <v>642</v>
      </c>
      <c r="D104" s="14"/>
    </row>
    <row r="105" customFormat="false" ht="15" hidden="false" customHeight="true" outlineLevel="0" collapsed="false">
      <c r="A105" s="14" t="s">
        <v>73</v>
      </c>
      <c r="B105" s="14" t="s">
        <v>812</v>
      </c>
      <c r="C105" s="14" t="s">
        <v>642</v>
      </c>
      <c r="D105" s="14"/>
    </row>
    <row r="106" customFormat="false" ht="15" hidden="false" customHeight="true" outlineLevel="0" collapsed="false">
      <c r="A106" s="14" t="s">
        <v>363</v>
      </c>
      <c r="B106" s="14" t="s">
        <v>813</v>
      </c>
      <c r="C106" s="14" t="s">
        <v>642</v>
      </c>
      <c r="D106" s="14"/>
    </row>
    <row r="107" customFormat="false" ht="15" hidden="false" customHeight="true" outlineLevel="0" collapsed="false">
      <c r="A107" s="14" t="s">
        <v>814</v>
      </c>
      <c r="B107" s="14" t="s">
        <v>815</v>
      </c>
      <c r="C107" s="14" t="s">
        <v>642</v>
      </c>
      <c r="D107" s="14"/>
    </row>
    <row r="108" customFormat="false" ht="15" hidden="false" customHeight="true" outlineLevel="0" collapsed="false">
      <c r="A108" s="14" t="s">
        <v>357</v>
      </c>
      <c r="B108" s="14" t="s">
        <v>816</v>
      </c>
      <c r="C108" s="14" t="s">
        <v>642</v>
      </c>
      <c r="D108" s="14"/>
    </row>
    <row r="109" customFormat="false" ht="23.25" hidden="false" customHeight="true" outlineLevel="0" collapsed="false">
      <c r="A109" s="14" t="s">
        <v>367</v>
      </c>
      <c r="B109" s="14" t="s">
        <v>817</v>
      </c>
      <c r="C109" s="14" t="s">
        <v>642</v>
      </c>
      <c r="D109" s="14"/>
    </row>
    <row r="110" customFormat="false" ht="15" hidden="false" customHeight="true" outlineLevel="0" collapsed="false">
      <c r="A110" s="14" t="s">
        <v>818</v>
      </c>
      <c r="B110" s="14" t="s">
        <v>819</v>
      </c>
      <c r="C110" s="14" t="s">
        <v>642</v>
      </c>
      <c r="D110" s="14"/>
    </row>
    <row r="111" customFormat="false" ht="23.25" hidden="false" customHeight="true" outlineLevel="0" collapsed="false">
      <c r="A111" s="14" t="s">
        <v>820</v>
      </c>
      <c r="B111" s="14" t="s">
        <v>821</v>
      </c>
      <c r="C111" s="14" t="s">
        <v>642</v>
      </c>
      <c r="D111" s="14"/>
    </row>
    <row r="112" customFormat="false" ht="15" hidden="false" customHeight="true" outlineLevel="0" collapsed="false">
      <c r="A112" s="14" t="s">
        <v>368</v>
      </c>
      <c r="B112" s="14" t="s">
        <v>798</v>
      </c>
      <c r="C112" s="14" t="s">
        <v>642</v>
      </c>
      <c r="D112" s="14"/>
    </row>
    <row r="113" customFormat="false" ht="15" hidden="false" customHeight="true" outlineLevel="0" collapsed="false">
      <c r="A113" s="14" t="s">
        <v>235</v>
      </c>
      <c r="B113" s="14" t="s">
        <v>822</v>
      </c>
      <c r="C113" s="14" t="s">
        <v>642</v>
      </c>
      <c r="D113" s="14"/>
    </row>
    <row r="114" customFormat="false" ht="15" hidden="false" customHeight="true" outlineLevel="0" collapsed="false">
      <c r="A114" s="14" t="s">
        <v>823</v>
      </c>
      <c r="B114" s="14" t="s">
        <v>822</v>
      </c>
      <c r="C114" s="14" t="s">
        <v>642</v>
      </c>
      <c r="D114" s="14"/>
    </row>
    <row r="115" customFormat="false" ht="15" hidden="false" customHeight="true" outlineLevel="0" collapsed="false">
      <c r="A115" s="14" t="s">
        <v>824</v>
      </c>
      <c r="B115" s="14" t="s">
        <v>825</v>
      </c>
      <c r="C115" s="14" t="s">
        <v>642</v>
      </c>
      <c r="D115" s="14"/>
    </row>
    <row r="116" customFormat="false" ht="23.25" hidden="false" customHeight="true" outlineLevel="0" collapsed="false">
      <c r="A116" s="14" t="s">
        <v>826</v>
      </c>
      <c r="B116" s="14" t="s">
        <v>827</v>
      </c>
      <c r="C116" s="14" t="s">
        <v>642</v>
      </c>
      <c r="D116" s="14"/>
    </row>
    <row r="117" customFormat="false" ht="23.25" hidden="false" customHeight="true" outlineLevel="0" collapsed="false">
      <c r="A117" s="14" t="s">
        <v>828</v>
      </c>
      <c r="B117" s="14" t="s">
        <v>829</v>
      </c>
      <c r="C117" s="14" t="s">
        <v>642</v>
      </c>
      <c r="D117" s="14"/>
    </row>
    <row r="118" customFormat="false" ht="23.25" hidden="false" customHeight="true" outlineLevel="0" collapsed="false">
      <c r="A118" s="14" t="s">
        <v>50</v>
      </c>
      <c r="B118" s="14" t="s">
        <v>830</v>
      </c>
      <c r="C118" s="14" t="s">
        <v>642</v>
      </c>
      <c r="D118" s="14"/>
    </row>
    <row r="119" customFormat="false" ht="15" hidden="false" customHeight="true" outlineLevel="0" collapsed="false">
      <c r="A119" s="14" t="s">
        <v>378</v>
      </c>
      <c r="B119" s="14" t="s">
        <v>831</v>
      </c>
      <c r="C119" s="14" t="s">
        <v>642</v>
      </c>
      <c r="D119" s="14"/>
    </row>
    <row r="120" customFormat="false" ht="15" hidden="false" customHeight="true" outlineLevel="0" collapsed="false">
      <c r="A120" s="14" t="s">
        <v>71</v>
      </c>
      <c r="B120" s="14" t="s">
        <v>832</v>
      </c>
      <c r="C120" s="14" t="s">
        <v>642</v>
      </c>
      <c r="D120" s="14"/>
    </row>
    <row r="121" customFormat="false" ht="15" hidden="false" customHeight="true" outlineLevel="0" collapsed="false">
      <c r="A121" s="14" t="s">
        <v>384</v>
      </c>
      <c r="B121" s="14" t="s">
        <v>833</v>
      </c>
      <c r="C121" s="14" t="s">
        <v>642</v>
      </c>
      <c r="D121" s="14"/>
    </row>
    <row r="122" customFormat="false" ht="15" hidden="false" customHeight="true" outlineLevel="0" collapsed="false">
      <c r="A122" s="14" t="s">
        <v>834</v>
      </c>
      <c r="B122" s="14" t="s">
        <v>835</v>
      </c>
      <c r="C122" s="14" t="s">
        <v>642</v>
      </c>
      <c r="D122" s="14"/>
    </row>
    <row r="123" customFormat="false" ht="15" hidden="false" customHeight="true" outlineLevel="0" collapsed="false">
      <c r="A123" s="14" t="s">
        <v>388</v>
      </c>
      <c r="B123" s="14" t="s">
        <v>836</v>
      </c>
      <c r="C123" s="14" t="s">
        <v>642</v>
      </c>
      <c r="D123" s="14"/>
    </row>
    <row r="124" customFormat="false" ht="15" hidden="false" customHeight="true" outlineLevel="0" collapsed="false">
      <c r="A124" s="14" t="s">
        <v>837</v>
      </c>
      <c r="B124" s="14" t="s">
        <v>838</v>
      </c>
      <c r="C124" s="14" t="s">
        <v>642</v>
      </c>
      <c r="D124" s="14"/>
    </row>
    <row r="125" customFormat="false" ht="15" hidden="false" customHeight="true" outlineLevel="0" collapsed="false">
      <c r="A125" s="14" t="s">
        <v>839</v>
      </c>
      <c r="B125" s="14" t="s">
        <v>840</v>
      </c>
      <c r="C125" s="14" t="s">
        <v>642</v>
      </c>
      <c r="D125" s="14"/>
    </row>
    <row r="126" customFormat="false" ht="15" hidden="false" customHeight="true" outlineLevel="0" collapsed="false">
      <c r="A126" s="14" t="s">
        <v>390</v>
      </c>
      <c r="B126" s="14" t="s">
        <v>841</v>
      </c>
      <c r="C126" s="14" t="s">
        <v>642</v>
      </c>
      <c r="D126" s="14"/>
    </row>
    <row r="127" customFormat="false" ht="15" hidden="false" customHeight="true" outlineLevel="0" collapsed="false">
      <c r="A127" s="14" t="s">
        <v>392</v>
      </c>
      <c r="B127" s="14" t="s">
        <v>842</v>
      </c>
      <c r="C127" s="14" t="s">
        <v>642</v>
      </c>
      <c r="D127" s="14"/>
    </row>
    <row r="128" customFormat="false" ht="23.25" hidden="false" customHeight="true" outlineLevel="0" collapsed="false">
      <c r="A128" s="14" t="s">
        <v>843</v>
      </c>
      <c r="B128" s="14" t="s">
        <v>844</v>
      </c>
      <c r="C128" s="14" t="s">
        <v>845</v>
      </c>
      <c r="D128" s="14"/>
    </row>
    <row r="129" customFormat="false" ht="23.25" hidden="false" customHeight="true" outlineLevel="0" collapsed="false">
      <c r="A129" s="14" t="s">
        <v>846</v>
      </c>
      <c r="B129" s="14" t="s">
        <v>847</v>
      </c>
      <c r="C129" s="14" t="s">
        <v>642</v>
      </c>
      <c r="D129" s="14"/>
    </row>
    <row r="130" customFormat="false" ht="23.25" hidden="false" customHeight="true" outlineLevel="0" collapsed="false">
      <c r="A130" s="14" t="s">
        <v>523</v>
      </c>
      <c r="B130" s="14" t="s">
        <v>848</v>
      </c>
      <c r="C130" s="14" t="s">
        <v>642</v>
      </c>
      <c r="D130" s="14"/>
    </row>
    <row r="131" customFormat="false" ht="15" hidden="false" customHeight="true" outlineLevel="0" collapsed="false">
      <c r="A131" s="14" t="s">
        <v>534</v>
      </c>
      <c r="B131" s="14" t="s">
        <v>849</v>
      </c>
      <c r="C131" s="14" t="s">
        <v>642</v>
      </c>
      <c r="D131" s="14"/>
    </row>
    <row r="132" customFormat="false" ht="15" hidden="false" customHeight="true" outlineLevel="0" collapsed="false">
      <c r="A132" s="14" t="s">
        <v>532</v>
      </c>
      <c r="B132" s="14" t="s">
        <v>850</v>
      </c>
      <c r="C132" s="14" t="s">
        <v>642</v>
      </c>
      <c r="D132" s="14"/>
    </row>
    <row r="133" customFormat="false" ht="15" hidden="false" customHeight="true" outlineLevel="0" collapsed="false">
      <c r="A133" s="14" t="s">
        <v>529</v>
      </c>
      <c r="B133" s="14" t="s">
        <v>851</v>
      </c>
      <c r="C133" s="14" t="s">
        <v>642</v>
      </c>
      <c r="D133" s="14"/>
    </row>
    <row r="134" customFormat="false" ht="15" hidden="false" customHeight="true" outlineLevel="0" collapsed="false">
      <c r="A134" s="14" t="s">
        <v>852</v>
      </c>
      <c r="B134" s="14" t="s">
        <v>853</v>
      </c>
      <c r="C134" s="14" t="s">
        <v>642</v>
      </c>
      <c r="D134" s="14"/>
    </row>
    <row r="135" customFormat="false" ht="23.25" hidden="false" customHeight="true" outlineLevel="0" collapsed="false">
      <c r="A135" s="14" t="s">
        <v>854</v>
      </c>
      <c r="B135" s="14" t="s">
        <v>855</v>
      </c>
      <c r="C135" s="14" t="s">
        <v>642</v>
      </c>
      <c r="D135" s="14"/>
    </row>
    <row r="136" customFormat="false" ht="15" hidden="false" customHeight="true" outlineLevel="0" collapsed="false">
      <c r="A136" s="14" t="s">
        <v>539</v>
      </c>
      <c r="B136" s="14" t="s">
        <v>856</v>
      </c>
      <c r="C136" s="14" t="s">
        <v>642</v>
      </c>
      <c r="D136" s="14"/>
    </row>
    <row r="137" customFormat="false" ht="15" hidden="false" customHeight="true" outlineLevel="0" collapsed="false">
      <c r="A137" s="14" t="s">
        <v>137</v>
      </c>
      <c r="B137" s="14" t="s">
        <v>857</v>
      </c>
      <c r="C137" s="14" t="s">
        <v>642</v>
      </c>
      <c r="D137" s="14"/>
    </row>
    <row r="138" customFormat="false" ht="15" hidden="false" customHeight="true" outlineLevel="0" collapsed="false">
      <c r="A138" s="14" t="s">
        <v>858</v>
      </c>
      <c r="B138" s="14" t="s">
        <v>859</v>
      </c>
      <c r="C138" s="14" t="s">
        <v>642</v>
      </c>
      <c r="D138" s="14"/>
    </row>
    <row r="139" customFormat="false" ht="15" hidden="false" customHeight="true" outlineLevel="0" collapsed="false">
      <c r="A139" s="14" t="s">
        <v>860</v>
      </c>
      <c r="B139" s="14" t="s">
        <v>861</v>
      </c>
      <c r="C139" s="14" t="s">
        <v>642</v>
      </c>
      <c r="D139" s="14"/>
    </row>
    <row r="140" customFormat="false" ht="15" hidden="false" customHeight="true" outlineLevel="0" collapsed="false">
      <c r="A140" s="14" t="s">
        <v>158</v>
      </c>
      <c r="B140" s="14" t="s">
        <v>862</v>
      </c>
      <c r="C140" s="14" t="s">
        <v>642</v>
      </c>
      <c r="D140" s="14"/>
    </row>
    <row r="141" customFormat="false" ht="23.25" hidden="false" customHeight="true" outlineLevel="0" collapsed="false">
      <c r="A141" s="14" t="s">
        <v>863</v>
      </c>
      <c r="B141" s="14" t="s">
        <v>864</v>
      </c>
      <c r="C141" s="14" t="s">
        <v>642</v>
      </c>
      <c r="D141" s="14"/>
    </row>
    <row r="142" customFormat="false" ht="15" hidden="false" customHeight="true" outlineLevel="0" collapsed="false">
      <c r="A142" s="14" t="s">
        <v>865</v>
      </c>
      <c r="B142" s="14" t="s">
        <v>866</v>
      </c>
      <c r="C142" s="14" t="s">
        <v>642</v>
      </c>
      <c r="D142" s="14"/>
    </row>
    <row r="143" customFormat="false" ht="15" hidden="false" customHeight="true" outlineLevel="0" collapsed="false">
      <c r="A143" s="14" t="s">
        <v>867</v>
      </c>
      <c r="B143" s="14" t="s">
        <v>868</v>
      </c>
      <c r="C143" s="14" t="s">
        <v>642</v>
      </c>
      <c r="D143" s="14"/>
    </row>
    <row r="144" customFormat="false" ht="15" hidden="false" customHeight="true" outlineLevel="0" collapsed="false">
      <c r="A144" s="14" t="s">
        <v>869</v>
      </c>
      <c r="B144" s="14" t="s">
        <v>870</v>
      </c>
      <c r="C144" s="20" t="s">
        <v>650</v>
      </c>
      <c r="D144" s="14"/>
    </row>
    <row r="145" customFormat="false" ht="15" hidden="false" customHeight="true" outlineLevel="0" collapsed="false">
      <c r="A145" s="14" t="s">
        <v>871</v>
      </c>
      <c r="B145" s="14" t="s">
        <v>872</v>
      </c>
      <c r="C145" s="14" t="s">
        <v>642</v>
      </c>
      <c r="D145" s="14"/>
    </row>
    <row r="146" customFormat="false" ht="15" hidden="false" customHeight="true" outlineLevel="0" collapsed="false">
      <c r="A146" s="14" t="s">
        <v>551</v>
      </c>
      <c r="B146" s="14" t="s">
        <v>873</v>
      </c>
      <c r="C146" s="14" t="s">
        <v>642</v>
      </c>
      <c r="D146" s="14"/>
    </row>
    <row r="147" customFormat="false" ht="15" hidden="false" customHeight="true" outlineLevel="0" collapsed="false">
      <c r="A147" s="14" t="s">
        <v>874</v>
      </c>
      <c r="B147" s="14" t="s">
        <v>875</v>
      </c>
      <c r="C147" s="14" t="s">
        <v>642</v>
      </c>
      <c r="D147" s="14"/>
    </row>
    <row r="148" customFormat="false" ht="15" hidden="false" customHeight="true" outlineLevel="0" collapsed="false">
      <c r="A148" s="14" t="s">
        <v>876</v>
      </c>
      <c r="B148" s="14" t="s">
        <v>877</v>
      </c>
      <c r="C148" s="14" t="s">
        <v>642</v>
      </c>
      <c r="D148" s="14"/>
    </row>
    <row r="149" customFormat="false" ht="15" hidden="false" customHeight="true" outlineLevel="0" collapsed="false">
      <c r="A149" s="14" t="s">
        <v>553</v>
      </c>
      <c r="B149" s="14" t="s">
        <v>878</v>
      </c>
      <c r="C149" s="14" t="s">
        <v>642</v>
      </c>
      <c r="D149" s="14"/>
    </row>
    <row r="150" customFormat="false" ht="15" hidden="false" customHeight="true" outlineLevel="0" collapsed="false">
      <c r="A150" s="14" t="s">
        <v>879</v>
      </c>
      <c r="B150" s="14" t="s">
        <v>880</v>
      </c>
      <c r="C150" s="14" t="s">
        <v>642</v>
      </c>
      <c r="D150" s="14"/>
    </row>
    <row r="151" customFormat="false" ht="15" hidden="false" customHeight="true" outlineLevel="0" collapsed="false">
      <c r="A151" s="14" t="s">
        <v>558</v>
      </c>
      <c r="B151" s="14" t="s">
        <v>881</v>
      </c>
      <c r="C151" s="14" t="s">
        <v>642</v>
      </c>
      <c r="D151" s="14"/>
    </row>
    <row r="152" customFormat="false" ht="15" hidden="false" customHeight="true" outlineLevel="0" collapsed="false">
      <c r="A152" s="14" t="s">
        <v>882</v>
      </c>
      <c r="B152" s="14" t="s">
        <v>883</v>
      </c>
      <c r="C152" s="14" t="s">
        <v>642</v>
      </c>
      <c r="D152" s="14"/>
    </row>
    <row r="153" customFormat="false" ht="15" hidden="false" customHeight="true" outlineLevel="0" collapsed="false">
      <c r="A153" s="14" t="s">
        <v>560</v>
      </c>
      <c r="B153" s="14" t="s">
        <v>884</v>
      </c>
      <c r="C153" s="14" t="s">
        <v>642</v>
      </c>
      <c r="D153" s="14"/>
    </row>
    <row r="154" customFormat="false" ht="15" hidden="false" customHeight="true" outlineLevel="0" collapsed="false">
      <c r="A154" s="14" t="s">
        <v>885</v>
      </c>
      <c r="B154" s="14" t="s">
        <v>886</v>
      </c>
      <c r="C154" s="14" t="s">
        <v>642</v>
      </c>
      <c r="D154" s="14"/>
    </row>
    <row r="155" customFormat="false" ht="15" hidden="false" customHeight="true" outlineLevel="0" collapsed="false">
      <c r="A155" s="14" t="s">
        <v>887</v>
      </c>
      <c r="B155" s="14" t="s">
        <v>888</v>
      </c>
      <c r="C155" s="14" t="s">
        <v>642</v>
      </c>
      <c r="D155" s="14"/>
    </row>
    <row r="156" customFormat="false" ht="15" hidden="false" customHeight="true" outlineLevel="0" collapsed="false">
      <c r="A156" s="14" t="s">
        <v>566</v>
      </c>
      <c r="B156" s="14" t="s">
        <v>889</v>
      </c>
      <c r="C156" s="14" t="s">
        <v>642</v>
      </c>
      <c r="D156" s="14"/>
    </row>
    <row r="157" customFormat="false" ht="15" hidden="false" customHeight="true" outlineLevel="0" collapsed="false">
      <c r="A157" s="14" t="s">
        <v>570</v>
      </c>
      <c r="B157" s="14" t="s">
        <v>890</v>
      </c>
      <c r="C157" s="14" t="s">
        <v>642</v>
      </c>
      <c r="D157" s="14"/>
    </row>
    <row r="158" customFormat="false" ht="15" hidden="false" customHeight="true" outlineLevel="0" collapsed="false">
      <c r="A158" s="14" t="s">
        <v>891</v>
      </c>
      <c r="B158" s="14" t="s">
        <v>892</v>
      </c>
      <c r="C158" s="14" t="s">
        <v>642</v>
      </c>
      <c r="D158" s="14"/>
    </row>
    <row r="159" customFormat="false" ht="15" hidden="false" customHeight="true" outlineLevel="0" collapsed="false">
      <c r="A159" s="14" t="s">
        <v>573</v>
      </c>
      <c r="B159" s="14" t="s">
        <v>893</v>
      </c>
      <c r="C159" s="14" t="s">
        <v>642</v>
      </c>
      <c r="D159" s="14"/>
    </row>
    <row r="160" customFormat="false" ht="15" hidden="false" customHeight="true" outlineLevel="0" collapsed="false">
      <c r="A160" s="14" t="s">
        <v>576</v>
      </c>
      <c r="B160" s="14" t="s">
        <v>894</v>
      </c>
      <c r="C160" s="14" t="s">
        <v>642</v>
      </c>
      <c r="D160" s="14"/>
    </row>
    <row r="161" customFormat="false" ht="15" hidden="false" customHeight="true" outlineLevel="0" collapsed="false">
      <c r="A161" s="14" t="s">
        <v>895</v>
      </c>
      <c r="B161" s="14" t="s">
        <v>896</v>
      </c>
      <c r="C161" s="14" t="s">
        <v>642</v>
      </c>
      <c r="D161" s="14"/>
    </row>
    <row r="162" customFormat="false" ht="15" hidden="false" customHeight="true" outlineLevel="0" collapsed="false">
      <c r="A162" s="14" t="s">
        <v>578</v>
      </c>
      <c r="B162" s="14" t="s">
        <v>897</v>
      </c>
      <c r="C162" s="14" t="s">
        <v>642</v>
      </c>
      <c r="D162" s="14"/>
    </row>
    <row r="163" customFormat="false" ht="15" hidden="false" customHeight="true" outlineLevel="0" collapsed="false">
      <c r="A163" s="14" t="s">
        <v>898</v>
      </c>
      <c r="B163" s="14" t="s">
        <v>899</v>
      </c>
      <c r="C163" s="14" t="s">
        <v>642</v>
      </c>
      <c r="D163" s="14"/>
    </row>
    <row r="164" customFormat="false" ht="15" hidden="false" customHeight="true" outlineLevel="0" collapsed="false">
      <c r="A164" s="14" t="s">
        <v>900</v>
      </c>
      <c r="B164" s="14" t="s">
        <v>901</v>
      </c>
      <c r="C164" s="14" t="s">
        <v>642</v>
      </c>
      <c r="D164" s="14"/>
    </row>
    <row r="165" customFormat="false" ht="15" hidden="false" customHeight="true" outlineLevel="0" collapsed="false">
      <c r="A165" s="14" t="s">
        <v>902</v>
      </c>
      <c r="B165" s="14" t="s">
        <v>903</v>
      </c>
      <c r="C165" s="20" t="s">
        <v>650</v>
      </c>
      <c r="D165" s="14"/>
    </row>
    <row r="166" customFormat="false" ht="15" hidden="false" customHeight="true" outlineLevel="0" collapsed="false">
      <c r="A166" s="14" t="s">
        <v>904</v>
      </c>
      <c r="B166" s="14" t="s">
        <v>905</v>
      </c>
      <c r="C166" s="14" t="s">
        <v>642</v>
      </c>
      <c r="D166" s="14"/>
    </row>
    <row r="167" customFormat="false" ht="15" hidden="false" customHeight="true" outlineLevel="0" collapsed="false">
      <c r="A167" s="14" t="s">
        <v>594</v>
      </c>
      <c r="B167" s="14" t="s">
        <v>906</v>
      </c>
      <c r="C167" s="14" t="s">
        <v>642</v>
      </c>
      <c r="D167" s="14"/>
    </row>
    <row r="168" customFormat="false" ht="15" hidden="false" customHeight="true" outlineLevel="0" collapsed="false">
      <c r="A168" s="14" t="s">
        <v>907</v>
      </c>
      <c r="B168" s="14" t="s">
        <v>908</v>
      </c>
      <c r="C168" s="14" t="s">
        <v>642</v>
      </c>
      <c r="D168" s="14"/>
    </row>
    <row r="169" customFormat="false" ht="15" hidden="false" customHeight="true" outlineLevel="0" collapsed="false">
      <c r="A169" s="14" t="s">
        <v>909</v>
      </c>
      <c r="B169" s="14" t="s">
        <v>910</v>
      </c>
      <c r="C169" s="14" t="s">
        <v>642</v>
      </c>
      <c r="D169" s="14"/>
    </row>
    <row r="170" customFormat="false" ht="15" hidden="false" customHeight="true" outlineLevel="0" collapsed="false">
      <c r="A170" s="14" t="s">
        <v>601</v>
      </c>
      <c r="B170" s="14" t="s">
        <v>911</v>
      </c>
      <c r="C170" s="14" t="s">
        <v>642</v>
      </c>
      <c r="D170" s="14"/>
    </row>
    <row r="171" customFormat="false" ht="15" hidden="false" customHeight="true" outlineLevel="0" collapsed="false">
      <c r="A171" s="14" t="s">
        <v>912</v>
      </c>
      <c r="B171" s="14" t="s">
        <v>913</v>
      </c>
      <c r="C171" s="14" t="s">
        <v>642</v>
      </c>
      <c r="D171" s="14"/>
    </row>
    <row r="172" customFormat="false" ht="15" hidden="false" customHeight="true" outlineLevel="0" collapsed="false">
      <c r="A172" s="14" t="s">
        <v>914</v>
      </c>
      <c r="B172" s="14" t="s">
        <v>915</v>
      </c>
      <c r="C172" s="14" t="s">
        <v>642</v>
      </c>
      <c r="D172" s="14"/>
    </row>
    <row r="173" customFormat="false" ht="15" hidden="false" customHeight="true" outlineLevel="0" collapsed="false">
      <c r="A173" s="14" t="s">
        <v>630</v>
      </c>
      <c r="B173" s="14" t="s">
        <v>916</v>
      </c>
      <c r="C173" s="14" t="s">
        <v>642</v>
      </c>
      <c r="D173" s="14"/>
    </row>
    <row r="174" customFormat="false" ht="15" hidden="false" customHeight="true" outlineLevel="0" collapsed="false">
      <c r="A174" s="14" t="s">
        <v>629</v>
      </c>
      <c r="B174" s="14" t="s">
        <v>917</v>
      </c>
      <c r="C174" s="14" t="s">
        <v>642</v>
      </c>
      <c r="D174" s="14"/>
    </row>
    <row r="175" customFormat="false" ht="15" hidden="false" customHeight="true" outlineLevel="0" collapsed="false">
      <c r="A175" s="14" t="s">
        <v>918</v>
      </c>
      <c r="B175" s="14" t="s">
        <v>917</v>
      </c>
      <c r="C175" s="20" t="s">
        <v>650</v>
      </c>
      <c r="D175" s="14"/>
    </row>
    <row r="176" customFormat="false" ht="15" hidden="false" customHeight="true" outlineLevel="0" collapsed="false">
      <c r="A176" s="14" t="s">
        <v>625</v>
      </c>
      <c r="B176" s="14" t="s">
        <v>919</v>
      </c>
      <c r="C176" s="14" t="s">
        <v>642</v>
      </c>
      <c r="D176" s="14"/>
    </row>
    <row r="177" customFormat="false" ht="15" hidden="false" customHeight="true" outlineLevel="0" collapsed="false">
      <c r="A177" s="14" t="s">
        <v>920</v>
      </c>
      <c r="B177" s="14" t="s">
        <v>921</v>
      </c>
      <c r="C177" s="14" t="s">
        <v>642</v>
      </c>
      <c r="D177" s="14"/>
    </row>
    <row r="178" customFormat="false" ht="15" hidden="false" customHeight="true" outlineLevel="0" collapsed="false">
      <c r="A178" s="14" t="s">
        <v>619</v>
      </c>
      <c r="B178" s="14" t="s">
        <v>922</v>
      </c>
      <c r="C178" s="14" t="s">
        <v>642</v>
      </c>
      <c r="D178" s="14"/>
    </row>
    <row r="179" customFormat="false" ht="15" hidden="false" customHeight="true" outlineLevel="0" collapsed="false">
      <c r="A179" s="14" t="s">
        <v>623</v>
      </c>
      <c r="B179" s="14" t="s">
        <v>923</v>
      </c>
      <c r="C179" s="14" t="s">
        <v>642</v>
      </c>
      <c r="D179" s="14"/>
    </row>
    <row r="180" customFormat="false" ht="15" hidden="false" customHeight="true" outlineLevel="0" collapsed="false">
      <c r="A180" s="14" t="s">
        <v>924</v>
      </c>
      <c r="B180" s="14" t="s">
        <v>925</v>
      </c>
      <c r="C180" s="14" t="s">
        <v>642</v>
      </c>
      <c r="D180" s="14"/>
    </row>
    <row r="181" customFormat="false" ht="15" hidden="false" customHeight="true" outlineLevel="0" collapsed="false">
      <c r="A181" s="14" t="s">
        <v>926</v>
      </c>
      <c r="B181" s="14" t="s">
        <v>927</v>
      </c>
      <c r="C181" s="14" t="s">
        <v>642</v>
      </c>
      <c r="D181" s="14"/>
    </row>
    <row r="182" customFormat="false" ht="15" hidden="false" customHeight="true" outlineLevel="0" collapsed="false">
      <c r="A182" s="14" t="s">
        <v>615</v>
      </c>
      <c r="B182" s="14" t="s">
        <v>928</v>
      </c>
      <c r="C182" s="14" t="s">
        <v>642</v>
      </c>
      <c r="D182" s="14"/>
    </row>
    <row r="183" customFormat="false" ht="15" hidden="false" customHeight="true" outlineLevel="0" collapsed="false">
      <c r="A183" s="14" t="s">
        <v>929</v>
      </c>
      <c r="B183" s="14" t="s">
        <v>930</v>
      </c>
      <c r="C183" s="14" t="s">
        <v>642</v>
      </c>
      <c r="D183" s="14"/>
    </row>
    <row r="184" customFormat="false" ht="15" hidden="false" customHeight="true" outlineLevel="0" collapsed="false">
      <c r="A184" s="14" t="s">
        <v>607</v>
      </c>
      <c r="B184" s="14" t="s">
        <v>931</v>
      </c>
      <c r="C184" s="14" t="s">
        <v>642</v>
      </c>
      <c r="D184" s="14"/>
    </row>
    <row r="185" customFormat="false" ht="15" hidden="false" customHeight="true" outlineLevel="0" collapsed="false">
      <c r="A185" s="14" t="s">
        <v>932</v>
      </c>
      <c r="B185" s="14" t="s">
        <v>933</v>
      </c>
      <c r="C185" s="20" t="s">
        <v>650</v>
      </c>
      <c r="D185" s="14"/>
    </row>
    <row r="186" customFormat="false" ht="15" hidden="false" customHeight="true" outlineLevel="0" collapsed="false">
      <c r="A186" s="14" t="s">
        <v>512</v>
      </c>
      <c r="B186" s="14" t="s">
        <v>934</v>
      </c>
      <c r="C186" s="14" t="s">
        <v>642</v>
      </c>
      <c r="D186" s="14"/>
    </row>
    <row r="187" customFormat="false" ht="15" hidden="false" customHeight="true" outlineLevel="0" collapsed="false">
      <c r="A187" s="14" t="s">
        <v>482</v>
      </c>
      <c r="B187" s="14" t="s">
        <v>935</v>
      </c>
      <c r="C187" s="14" t="s">
        <v>642</v>
      </c>
      <c r="D187" s="14"/>
    </row>
    <row r="188" customFormat="false" ht="15" hidden="false" customHeight="true" outlineLevel="0" collapsed="false">
      <c r="A188" s="14" t="s">
        <v>486</v>
      </c>
      <c r="B188" s="14" t="s">
        <v>936</v>
      </c>
      <c r="C188" s="14" t="s">
        <v>642</v>
      </c>
      <c r="D188" s="14"/>
    </row>
    <row r="189" customFormat="false" ht="15" hidden="false" customHeight="true" outlineLevel="0" collapsed="false">
      <c r="A189" s="14" t="s">
        <v>483</v>
      </c>
      <c r="B189" s="14" t="s">
        <v>937</v>
      </c>
      <c r="C189" s="14" t="s">
        <v>642</v>
      </c>
      <c r="D189" s="14"/>
    </row>
    <row r="190" customFormat="false" ht="15" hidden="false" customHeight="true" outlineLevel="0" collapsed="false">
      <c r="A190" s="14" t="s">
        <v>938</v>
      </c>
      <c r="B190" s="14" t="s">
        <v>939</v>
      </c>
      <c r="C190" s="14" t="s">
        <v>642</v>
      </c>
      <c r="D190" s="14"/>
    </row>
    <row r="191" customFormat="false" ht="15" hidden="false" customHeight="true" outlineLevel="0" collapsed="false">
      <c r="A191" s="14" t="s">
        <v>487</v>
      </c>
      <c r="B191" s="14" t="s">
        <v>940</v>
      </c>
      <c r="C191" s="14" t="s">
        <v>642</v>
      </c>
      <c r="D191" s="14"/>
    </row>
    <row r="192" customFormat="false" ht="23.25" hidden="false" customHeight="true" outlineLevel="0" collapsed="false">
      <c r="A192" s="14" t="s">
        <v>941</v>
      </c>
      <c r="B192" s="14" t="s">
        <v>942</v>
      </c>
      <c r="C192" s="14" t="s">
        <v>943</v>
      </c>
      <c r="D192" s="14"/>
    </row>
    <row r="193" customFormat="false" ht="15" hidden="false" customHeight="true" outlineLevel="0" collapsed="false">
      <c r="A193" s="14" t="s">
        <v>495</v>
      </c>
      <c r="B193" s="14" t="s">
        <v>944</v>
      </c>
      <c r="C193" s="14" t="s">
        <v>642</v>
      </c>
      <c r="D193" s="14"/>
    </row>
    <row r="194" customFormat="false" ht="23.25" hidden="false" customHeight="true" outlineLevel="0" collapsed="false">
      <c r="A194" s="14" t="s">
        <v>494</v>
      </c>
      <c r="B194" s="14" t="s">
        <v>945</v>
      </c>
      <c r="C194" s="14" t="s">
        <v>642</v>
      </c>
      <c r="D194" s="14"/>
    </row>
    <row r="195" customFormat="false" ht="15" hidden="false" customHeight="true" outlineLevel="0" collapsed="false">
      <c r="A195" s="14" t="s">
        <v>946</v>
      </c>
      <c r="B195" s="14" t="s">
        <v>947</v>
      </c>
      <c r="C195" s="14" t="s">
        <v>642</v>
      </c>
      <c r="D195" s="14"/>
    </row>
    <row r="196" customFormat="false" ht="15" hidden="false" customHeight="true" outlineLevel="0" collapsed="false">
      <c r="A196" s="14" t="s">
        <v>496</v>
      </c>
      <c r="B196" s="14" t="s">
        <v>948</v>
      </c>
      <c r="C196" s="14" t="s">
        <v>642</v>
      </c>
      <c r="D196" s="14"/>
    </row>
    <row r="197" customFormat="false" ht="15" hidden="false" customHeight="true" outlineLevel="0" collapsed="false">
      <c r="A197" s="14" t="s">
        <v>949</v>
      </c>
      <c r="B197" s="14" t="s">
        <v>950</v>
      </c>
      <c r="C197" s="14" t="s">
        <v>642</v>
      </c>
      <c r="D197" s="14"/>
    </row>
    <row r="198" customFormat="false" ht="15" hidden="false" customHeight="true" outlineLevel="0" collapsed="false">
      <c r="A198" s="14" t="s">
        <v>504</v>
      </c>
      <c r="B198" s="14" t="s">
        <v>951</v>
      </c>
      <c r="C198" s="14" t="s">
        <v>642</v>
      </c>
      <c r="D198" s="14"/>
    </row>
    <row r="199" customFormat="false" ht="15" hidden="false" customHeight="true" outlineLevel="0" collapsed="false">
      <c r="A199" s="14" t="s">
        <v>507</v>
      </c>
      <c r="B199" s="14" t="s">
        <v>952</v>
      </c>
      <c r="C199" s="14" t="s">
        <v>642</v>
      </c>
      <c r="D199" s="14"/>
    </row>
    <row r="200" customFormat="false" ht="15" hidden="false" customHeight="true" outlineLevel="0" collapsed="false">
      <c r="A200" s="14" t="s">
        <v>953</v>
      </c>
      <c r="B200" s="14" t="s">
        <v>954</v>
      </c>
      <c r="C200" s="14" t="s">
        <v>642</v>
      </c>
      <c r="D200" s="14"/>
    </row>
    <row r="201" customFormat="false" ht="15" hidden="false" customHeight="true" outlineLevel="0" collapsed="false">
      <c r="A201" s="14" t="s">
        <v>955</v>
      </c>
      <c r="B201" s="14" t="s">
        <v>956</v>
      </c>
      <c r="C201" s="14" t="s">
        <v>642</v>
      </c>
      <c r="D201" s="14"/>
    </row>
    <row r="202" customFormat="false" ht="15" hidden="false" customHeight="true" outlineLevel="0" collapsed="false">
      <c r="A202" s="14" t="s">
        <v>518</v>
      </c>
      <c r="B202" s="14" t="s">
        <v>957</v>
      </c>
      <c r="C202" s="14" t="s">
        <v>642</v>
      </c>
      <c r="D202" s="14"/>
    </row>
    <row r="203" customFormat="false" ht="15" hidden="false" customHeight="true" outlineLevel="0" collapsed="false">
      <c r="A203" s="14" t="s">
        <v>958</v>
      </c>
      <c r="B203" s="14" t="s">
        <v>959</v>
      </c>
      <c r="C203" s="14" t="s">
        <v>642</v>
      </c>
      <c r="D203" s="14"/>
    </row>
    <row r="204" customFormat="false" ht="15" hidden="false" customHeight="true" outlineLevel="0" collapsed="false">
      <c r="A204" s="14" t="s">
        <v>516</v>
      </c>
      <c r="B204" s="14" t="s">
        <v>960</v>
      </c>
      <c r="C204" s="14" t="s">
        <v>642</v>
      </c>
      <c r="D204" s="14"/>
    </row>
  </sheetData>
  <autoFilter ref="A1:D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2026-07-04T16:24:05Z</dcterms:created>
  <dc:creator>openpyxl</dc:creator>
  <dc:description/>
  <dc:language>en-US</dc:language>
  <cp:lastModifiedBy/>
  <dcterms:modified xsi:type="dcterms:W3CDTF">2026-07-04T16:41:53Z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